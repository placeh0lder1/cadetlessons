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Documents\GitHub\cadetlessons\lvl2\exam_material\exam\"/>
    </mc:Choice>
  </mc:AlternateContent>
  <xr:revisionPtr revIDLastSave="0" documentId="13_ncr:1_{766F6923-C3CB-4C16-AB90-039E5FBF9C0E}" xr6:coauthVersionLast="47" xr6:coauthVersionMax="47" xr10:uidLastSave="{00000000-0000-0000-0000-000000000000}"/>
  <bookViews>
    <workbookView xWindow="-120" yWindow="-120" windowWidth="29040" windowHeight="15720" xr2:uid="{D65C4325-2FBB-4F3C-9873-1316E8B14162}"/>
  </bookViews>
  <sheets>
    <sheet name="Sheet1" sheetId="1" r:id="rId1"/>
  </sheets>
  <definedNames>
    <definedName name="_xlchart.v1.0" hidden="1">Sheet1!$AJ$6</definedName>
    <definedName name="_xlchart.v1.1" hidden="1">Sheet1!$AJ$7:$AJ$27</definedName>
    <definedName name="_xlchart.v1.2" hidden="1">Sheet1!$AK$6</definedName>
    <definedName name="_xlchart.v1.3" hidden="1">Sheet1!$AK$7:$AK$27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" i="1" l="1"/>
  <c r="AM7" i="1" s="1"/>
  <c r="AK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AH34" i="1"/>
  <c r="AH27" i="1"/>
  <c r="AH47" i="1"/>
  <c r="AG47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F48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3" i="1"/>
  <c r="AH32" i="1"/>
  <c r="AH31" i="1"/>
  <c r="AH30" i="1"/>
  <c r="AH29" i="1"/>
  <c r="AH28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F23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3" i="1"/>
  <c r="AM12" i="1" l="1"/>
  <c r="AM28" i="1"/>
  <c r="AM44" i="1"/>
  <c r="AM29" i="1"/>
  <c r="AM45" i="1"/>
  <c r="AM14" i="1"/>
  <c r="AM30" i="1"/>
  <c r="AM46" i="1"/>
  <c r="AM31" i="1"/>
  <c r="AM47" i="1"/>
  <c r="AM16" i="1"/>
  <c r="AM32" i="1"/>
  <c r="AM17" i="1"/>
  <c r="AM33" i="1"/>
  <c r="AM18" i="1"/>
  <c r="AM34" i="1"/>
  <c r="AM19" i="1"/>
  <c r="AM13" i="1"/>
  <c r="AM35" i="1"/>
  <c r="AM20" i="1"/>
  <c r="AM36" i="1"/>
  <c r="AM21" i="1"/>
  <c r="AM37" i="1"/>
  <c r="AM22" i="1"/>
  <c r="AM38" i="1"/>
  <c r="AM23" i="1"/>
  <c r="AM39" i="1"/>
  <c r="AM8" i="1"/>
  <c r="AM24" i="1"/>
  <c r="AM40" i="1"/>
  <c r="AM9" i="1"/>
  <c r="AM25" i="1"/>
  <c r="AM41" i="1"/>
  <c r="AM10" i="1"/>
  <c r="AM26" i="1"/>
  <c r="AM42" i="1"/>
  <c r="AM11" i="1"/>
  <c r="AM27" i="1"/>
  <c r="AM43" i="1"/>
  <c r="AM15" i="1"/>
  <c r="AH48" i="1"/>
  <c r="AH23" i="1"/>
</calcChain>
</file>

<file path=xl/sharedStrings.xml><?xml version="1.0" encoding="utf-8"?>
<sst xmlns="http://schemas.openxmlformats.org/spreadsheetml/2006/main" count="280" uniqueCount="76">
  <si>
    <t>Rank</t>
  </si>
  <si>
    <t>Last Name</t>
  </si>
  <si>
    <t>First Name</t>
  </si>
  <si>
    <t>CIN</t>
  </si>
  <si>
    <t>Percentage</t>
  </si>
  <si>
    <t>Mark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</si>
  <si>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</si>
  <si>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</si>
  <si>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</si>
  <si>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</si>
  <si>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</si>
  <si>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</si>
  <si>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</si>
  <si>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</si>
  <si>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</si>
  <si>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</si>
  <si>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</si>
  <si>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</si>
  <si>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</si>
  <si>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</si>
  <si>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</si>
  <si>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</si>
  <si>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</si>
  <si>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</si>
  <si>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</si>
  <si>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</si>
  <si>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</si>
  <si>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</si>
  <si>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</si>
  <si>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</si>
  <si>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</si>
  <si>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</si>
  <si>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</si>
  <si>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</si>
  <si>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</si>
  <si>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</si>
  <si>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</si>
  <si>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</si>
  <si>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</si>
  <si>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1/5</t>
  </si>
  <si>
    <t>2/19</t>
  </si>
  <si>
    <t>3/4</t>
  </si>
  <si>
    <t>4/3</t>
  </si>
  <si>
    <t>5/17</t>
  </si>
  <si>
    <t>6/24</t>
  </si>
  <si>
    <t>7/6</t>
  </si>
  <si>
    <t>8/2</t>
  </si>
  <si>
    <t>9/1</t>
  </si>
  <si>
    <t>10/23</t>
  </si>
  <si>
    <t>11/9</t>
  </si>
  <si>
    <t>12/21</t>
  </si>
  <si>
    <t>13/13</t>
  </si>
  <si>
    <t>14/15</t>
  </si>
  <si>
    <t>15/10</t>
  </si>
  <si>
    <t>16/11</t>
  </si>
  <si>
    <t>17/16</t>
  </si>
  <si>
    <t>18/18</t>
  </si>
  <si>
    <t>19/22</t>
  </si>
  <si>
    <t>20/27</t>
  </si>
  <si>
    <t>21/8</t>
  </si>
  <si>
    <t>22/26</t>
  </si>
  <si>
    <t>23/14</t>
  </si>
  <si>
    <t>24/20</t>
  </si>
  <si>
    <t>25/25</t>
  </si>
  <si>
    <t>26/12</t>
  </si>
  <si>
    <t>27/7</t>
  </si>
  <si>
    <t>Test Version A</t>
  </si>
  <si>
    <t>Test Verion B</t>
  </si>
  <si>
    <t>Probability Density</t>
  </si>
  <si>
    <t>Mean:</t>
  </si>
  <si>
    <t>SD:</t>
  </si>
  <si>
    <t>Grades</t>
  </si>
  <si>
    <t>Bin</t>
  </si>
  <si>
    <t>More</t>
  </si>
  <si>
    <t>Frequency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</si>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</sst>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5" fontId="0" fillId="3" borderId="2" xfId="0" applyNumberFormat="1" applyFill="1" applyBorder="1"/>
    <xf numFmtId="165" fontId="0" fillId="2" borderId="2" xfId="0" applyNumberFormat="1" applyFill="1" applyBorder="1"/>
    <xf numFmtId="0" fontId="0" fillId="3" borderId="3" xfId="0" applyFill="1" applyBorder="1"/>
    <xf numFmtId="0" fontId="0" fillId="3" borderId="4" xfId="0" applyFill="1" applyBorder="1"/>
    <xf numFmtId="165" fontId="0" fillId="3" borderId="5" xfId="0" applyNumberFormat="1" applyFill="1" applyBorder="1"/>
    <xf numFmtId="0" fontId="0" fillId="2" borderId="6" xfId="0" applyFill="1" applyBorder="1"/>
    <xf numFmtId="165" fontId="0" fillId="2" borderId="7" xfId="0" applyNumberFormat="1" applyFill="1" applyBorder="1"/>
    <xf numFmtId="165" fontId="1" fillId="0" borderId="1" xfId="0" applyNumberFormat="1" applyFont="1" applyBorder="1"/>
    <xf numFmtId="16" fontId="0" fillId="0" borderId="0" xfId="0" applyNumberFormat="1"/>
    <xf numFmtId="0" fontId="0" fillId="0" borderId="0" xfId="0" quotePrefix="1"/>
    <xf numFmtId="165" fontId="1" fillId="0" borderId="0" xfId="0" applyNumberFormat="1" applyFont="1"/>
    <xf numFmtId="0" fontId="0" fillId="0" borderId="8" xfId="0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2" fontId="0" fillId="6" borderId="0" xfId="0" applyNumberFormat="1" applyFill="1"/>
    <xf numFmtId="0" fontId="3" fillId="7" borderId="9" xfId="0" applyFont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fill>
        <patternFill patternType="solid">
          <fgColor theme="0" tint="-0.34998626667073579"/>
          <bgColor theme="0" tint="-0.34998626667073579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  <fill>
        <patternFill patternType="solid">
          <fgColor theme="0" tint="-0.34998626667073579"/>
          <bgColor theme="0" tint="-0.34998626667073579"/>
        </patternFill>
      </fill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 style="thin">
          <color theme="1"/>
        </right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CA"/>
              <a:t>Grades Histogram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159667541557303E-2"/>
          <c:y val="0.17171296296296296"/>
          <c:w val="0.92006255468066489"/>
          <c:h val="0.7212580198308544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723900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xVal>
            <c:numRef>
              <c:f>Sheet1!$AO$8:$AO$15</c:f>
              <c:numCache>
                <c:formatCode>General</c:formatCode>
                <c:ptCount val="8"/>
                <c:pt idx="0">
                  <c:v>-2</c:v>
                </c:pt>
                <c:pt idx="1">
                  <c:v>7.5</c:v>
                </c:pt>
                <c:pt idx="2">
                  <c:v>22.5</c:v>
                </c:pt>
                <c:pt idx="3">
                  <c:v>36</c:v>
                </c:pt>
                <c:pt idx="4">
                  <c:v>48.5</c:v>
                </c:pt>
                <c:pt idx="5">
                  <c:v>60</c:v>
                </c:pt>
                <c:pt idx="6">
                  <c:v>72.5</c:v>
                </c:pt>
                <c:pt idx="7">
                  <c:v>90</c:v>
                </c:pt>
              </c:numCache>
            </c:numRef>
          </c:xVal>
          <c:yVal>
            <c:numRef>
              <c:f>Sheet1!$AP$8:$AP$15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9</c:v>
                </c:pt>
                <c:pt idx="4">
                  <c:v>12</c:v>
                </c:pt>
                <c:pt idx="5">
                  <c:v>9</c:v>
                </c:pt>
                <c:pt idx="6">
                  <c:v>3</c:v>
                </c:pt>
                <c:pt idx="7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A-4849-BE8C-803E110FF715}"/>
            </c:ext>
          </c:extLst>
        </c:ser>
        <c:ser>
          <c:idx val="1"/>
          <c:order val="1"/>
          <c:tx>
            <c:strRef>
              <c:f>Sheet1!$AM$6</c:f>
              <c:strCache>
                <c:ptCount val="1"/>
                <c:pt idx="0">
                  <c:v>Probability Density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Sheet1!$AL$7:$AL$47</c:f>
              <c:numCache>
                <c:formatCode>0</c:formatCode>
                <c:ptCount val="40"/>
                <c:pt idx="0">
                  <c:v>7.4</c:v>
                </c:pt>
                <c:pt idx="1">
                  <c:v>11.1</c:v>
                </c:pt>
                <c:pt idx="2">
                  <c:v>22.2</c:v>
                </c:pt>
                <c:pt idx="3">
                  <c:v>25.9</c:v>
                </c:pt>
                <c:pt idx="4">
                  <c:v>25.9</c:v>
                </c:pt>
                <c:pt idx="5">
                  <c:v>29.6</c:v>
                </c:pt>
                <c:pt idx="6">
                  <c:v>29.6</c:v>
                </c:pt>
                <c:pt idx="7">
                  <c:v>33.299999999999997</c:v>
                </c:pt>
                <c:pt idx="8">
                  <c:v>33.299999999999997</c:v>
                </c:pt>
                <c:pt idx="9">
                  <c:v>37</c:v>
                </c:pt>
                <c:pt idx="10">
                  <c:v>37</c:v>
                </c:pt>
                <c:pt idx="11">
                  <c:v>40.700000000000003</c:v>
                </c:pt>
                <c:pt idx="12">
                  <c:v>40.700000000000003</c:v>
                </c:pt>
                <c:pt idx="13">
                  <c:v>40.700000000000003</c:v>
                </c:pt>
                <c:pt idx="14">
                  <c:v>40.700000000000003</c:v>
                </c:pt>
                <c:pt idx="15">
                  <c:v>40.700000000000003</c:v>
                </c:pt>
                <c:pt idx="16">
                  <c:v>44.4</c:v>
                </c:pt>
                <c:pt idx="17">
                  <c:v>44.4</c:v>
                </c:pt>
                <c:pt idx="18">
                  <c:v>44.4</c:v>
                </c:pt>
                <c:pt idx="19">
                  <c:v>44.4</c:v>
                </c:pt>
                <c:pt idx="20">
                  <c:v>48.1</c:v>
                </c:pt>
                <c:pt idx="21">
                  <c:v>48.1</c:v>
                </c:pt>
                <c:pt idx="22">
                  <c:v>48.1</c:v>
                </c:pt>
                <c:pt idx="23">
                  <c:v>51.9</c:v>
                </c:pt>
                <c:pt idx="24">
                  <c:v>51.9</c:v>
                </c:pt>
                <c:pt idx="25">
                  <c:v>51.9</c:v>
                </c:pt>
                <c:pt idx="26">
                  <c:v>51.9</c:v>
                </c:pt>
                <c:pt idx="27">
                  <c:v>55.6</c:v>
                </c:pt>
                <c:pt idx="28">
                  <c:v>55.6</c:v>
                </c:pt>
                <c:pt idx="29">
                  <c:v>59.3</c:v>
                </c:pt>
                <c:pt idx="30">
                  <c:v>59.3</c:v>
                </c:pt>
                <c:pt idx="31">
                  <c:v>59.3</c:v>
                </c:pt>
                <c:pt idx="32">
                  <c:v>63</c:v>
                </c:pt>
                <c:pt idx="33">
                  <c:v>63</c:v>
                </c:pt>
                <c:pt idx="34">
                  <c:v>63</c:v>
                </c:pt>
                <c:pt idx="35">
                  <c:v>63</c:v>
                </c:pt>
                <c:pt idx="36">
                  <c:v>70.400000000000006</c:v>
                </c:pt>
                <c:pt idx="37">
                  <c:v>74.099999999999994</c:v>
                </c:pt>
                <c:pt idx="38">
                  <c:v>77.8</c:v>
                </c:pt>
                <c:pt idx="39">
                  <c:v>92.6</c:v>
                </c:pt>
              </c:numCache>
            </c:numRef>
          </c:xVal>
          <c:yVal>
            <c:numRef>
              <c:f>Sheet1!$AM$7:$AM$47</c:f>
              <c:numCache>
                <c:formatCode>0.000000</c:formatCode>
                <c:ptCount val="40"/>
                <c:pt idx="0">
                  <c:v>0.80931631673406901</c:v>
                </c:pt>
                <c:pt idx="1">
                  <c:v>1.3159573881487445</c:v>
                </c:pt>
                <c:pt idx="2">
                  <c:v>4.2554978069784193</c:v>
                </c:pt>
                <c:pt idx="3">
                  <c:v>5.7231158471044532</c:v>
                </c:pt>
                <c:pt idx="4">
                  <c:v>5.7231158471044532</c:v>
                </c:pt>
                <c:pt idx="5">
                  <c:v>7.3401403112698382</c:v>
                </c:pt>
                <c:pt idx="6">
                  <c:v>7.3401403112698382</c:v>
                </c:pt>
                <c:pt idx="7">
                  <c:v>8.9777156417163191</c:v>
                </c:pt>
                <c:pt idx="8">
                  <c:v>8.9777156417163191</c:v>
                </c:pt>
                <c:pt idx="9">
                  <c:v>10.471695090579681</c:v>
                </c:pt>
                <c:pt idx="10">
                  <c:v>10.471695090579681</c:v>
                </c:pt>
                <c:pt idx="11">
                  <c:v>11.648172396267453</c:v>
                </c:pt>
                <c:pt idx="12">
                  <c:v>11.648172396267453</c:v>
                </c:pt>
                <c:pt idx="13">
                  <c:v>11.648172396267453</c:v>
                </c:pt>
                <c:pt idx="14">
                  <c:v>11.648172396267453</c:v>
                </c:pt>
                <c:pt idx="15">
                  <c:v>11.648172396267453</c:v>
                </c:pt>
                <c:pt idx="16">
                  <c:v>12.356294483061493</c:v>
                </c:pt>
                <c:pt idx="17">
                  <c:v>12.356294483061493</c:v>
                </c:pt>
                <c:pt idx="18">
                  <c:v>12.356294483061493</c:v>
                </c:pt>
                <c:pt idx="19">
                  <c:v>12.356294483061493</c:v>
                </c:pt>
                <c:pt idx="20">
                  <c:v>12.499952695343543</c:v>
                </c:pt>
                <c:pt idx="21">
                  <c:v>12.499952695343543</c:v>
                </c:pt>
                <c:pt idx="22">
                  <c:v>12.499952695343543</c:v>
                </c:pt>
                <c:pt idx="23">
                  <c:v>12.03956358510947</c:v>
                </c:pt>
                <c:pt idx="24">
                  <c:v>12.03956358510947</c:v>
                </c:pt>
                <c:pt idx="25">
                  <c:v>12.03956358510947</c:v>
                </c:pt>
                <c:pt idx="26">
                  <c:v>12.03956358510947</c:v>
                </c:pt>
                <c:pt idx="27">
                  <c:v>11.062496482719986</c:v>
                </c:pt>
                <c:pt idx="28">
                  <c:v>11.062496482719986</c:v>
                </c:pt>
                <c:pt idx="29">
                  <c:v>9.6936024672754222</c:v>
                </c:pt>
                <c:pt idx="30">
                  <c:v>9.6936024672754222</c:v>
                </c:pt>
                <c:pt idx="31">
                  <c:v>9.6936024672754222</c:v>
                </c:pt>
                <c:pt idx="32">
                  <c:v>8.1004085636292125</c:v>
                </c:pt>
                <c:pt idx="33">
                  <c:v>8.1004085636292125</c:v>
                </c:pt>
                <c:pt idx="34">
                  <c:v>8.1004085636292125</c:v>
                </c:pt>
                <c:pt idx="35">
                  <c:v>8.1004085636292125</c:v>
                </c:pt>
                <c:pt idx="36">
                  <c:v>4.9059073059279701</c:v>
                </c:pt>
                <c:pt idx="37">
                  <c:v>3.5555765531226209</c:v>
                </c:pt>
                <c:pt idx="38">
                  <c:v>2.4574822401398997</c:v>
                </c:pt>
                <c:pt idx="39">
                  <c:v>0.34890596486822573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0A-4849-BE8C-803E110FF7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063952"/>
        <c:axId val="950064432"/>
      </c:scatterChart>
      <c:valAx>
        <c:axId val="950063952"/>
        <c:scaling>
          <c:orientation val="minMax"/>
          <c:max val="11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64432"/>
        <c:crosses val="autoZero"/>
        <c:crossBetween val="midCat"/>
      </c:valAx>
      <c:valAx>
        <c:axId val="95006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63952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Boxplots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bg1"/>
              </a:solidFill>
              <a:latin typeface="Aptos Narrow" panose="02110004020202020204"/>
            </a:rPr>
            <a:t>Boxplots</a:t>
          </a:r>
        </a:p>
      </cx:txPr>
    </cx:title>
    <cx:plotArea>
      <cx:plotAreaRegion>
        <cx:series layoutId="boxWhisker" uniqueId="{D5F5E56B-B7CC-4A62-BECC-9385EEB70810}" formatIdx="0">
          <cx:tx>
            <cx:txData>
              <cx:f>_xlchart.v1.0</cx:f>
              <cx:v>Test Version A</cx:v>
            </cx:txData>
          </cx:tx>
          <cx:spPr>
            <a:ln>
              <a:solidFill>
                <a:schemeClr val="accent5"/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9E00040E-79D6-4251-8FF3-79BA819E7E32}" formatIdx="1">
          <cx:tx>
            <cx:txData>
              <cx:f>_xlchart.v1.2</cx:f>
              <cx:v>Test Verion B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594146</xdr:colOff>
      <xdr:row>47</xdr:row>
      <xdr:rowOff>174073</xdr:rowOff>
    </xdr:from>
    <xdr:to>
      <xdr:col>46</xdr:col>
      <xdr:colOff>103608</xdr:colOff>
      <xdr:row>63</xdr:row>
      <xdr:rowOff>150262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36D584F5-5B89-C904-781C-C0143FDFB4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014996" y="8765623"/>
              <a:ext cx="4872037" cy="3024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46</xdr:col>
      <xdr:colOff>304119</xdr:colOff>
      <xdr:row>47</xdr:row>
      <xdr:rowOff>5345</xdr:rowOff>
    </xdr:from>
    <xdr:to>
      <xdr:col>60</xdr:col>
      <xdr:colOff>47625</xdr:colOff>
      <xdr:row>62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CBD278B-392F-CCEA-28C1-C58FB6A42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74249</xdr:colOff>
      <xdr:row>48</xdr:row>
      <xdr:rowOff>96971</xdr:rowOff>
    </xdr:from>
    <xdr:to>
      <xdr:col>21</xdr:col>
      <xdr:colOff>126235</xdr:colOff>
      <xdr:row>67</xdr:row>
      <xdr:rowOff>54998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162606-30CC-EF8B-4F32-71D0ECD3D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321" y="9071128"/>
          <a:ext cx="4699727" cy="3664743"/>
        </a:xfrm>
        <a:prstGeom prst="rect">
          <a:avLst/>
        </a:prstGeom>
      </xdr:spPr>
    </xdr:pic>
    <xdr:clientData/>
  </xdr:twoCellAnchor>
  <xdr:twoCellAnchor editAs="oneCell">
    <xdr:from>
      <xdr:col>23</xdr:col>
      <xdr:colOff>228600</xdr:colOff>
      <xdr:row>50</xdr:row>
      <xdr:rowOff>0</xdr:rowOff>
    </xdr:from>
    <xdr:to>
      <xdr:col>35</xdr:col>
      <xdr:colOff>353126</xdr:colOff>
      <xdr:row>67</xdr:row>
      <xdr:rowOff>133821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5E9EFA9-B088-F50D-76F8-0F9B2D4AD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24600" y="9353550"/>
          <a:ext cx="5020376" cy="33723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33963E2-F557-4DD6-BBD0-6D5BB8EAA7E1}" name="Table3" displayName="Table3" ref="B2:AH22" totalsRowShown="0">
  <autoFilter ref="B2:AH22" xr:uid="{C33963E2-F557-4DD6-BBD0-6D5BB8EAA7E1}"/>
  <tableColumns count="33">
    <tableColumn id="1" xr3:uid="{2A7579B5-4F37-4B32-BFAF-64CC203A3A21}" name="Column1"/>
    <tableColumn id="2" xr3:uid="{383FA773-E9A9-4CC9-8922-A6F0C3A1F157}" name="Column2"/>
    <tableColumn id="3" xr3:uid="{BEF8362C-786C-4592-8B29-F218CC9AED8C}" name="Column3"/>
    <tableColumn id="4" xr3:uid="{B0B2259B-4242-47CB-B4B1-69B387CF3229}" name="Column4"/>
    <tableColumn id="5" xr3:uid="{4F6F6623-0E0B-4901-B1FC-3C17C6CBE291}" name="Column5"/>
    <tableColumn id="6" xr3:uid="{ED4CEECB-94A8-4D57-B0C1-B2FD47A24D25}" name="Column6"/>
    <tableColumn id="7" xr3:uid="{812399B0-37E2-4FDD-ADBA-F5172B6877B9}" name="Column7"/>
    <tableColumn id="8" xr3:uid="{8FEC417F-41C2-4EB7-8E15-E7BA449FFE16}" name="Column8"/>
    <tableColumn id="9" xr3:uid="{B9EBA1C1-8A96-4530-BD89-ADD6A7BC2A9F}" name="Column9"/>
    <tableColumn id="10" xr3:uid="{BC0BF355-34E9-4E3D-86D0-11A792243B2C}" name="Column10"/>
    <tableColumn id="11" xr3:uid="{BDE80C95-5F3A-4A23-A944-FDEBC4149A50}" name="Column11"/>
    <tableColumn id="12" xr3:uid="{0CF92EE5-46A7-4312-A83D-940057BBFFAF}" name="Column12"/>
    <tableColumn id="13" xr3:uid="{A48EBECE-778D-4F27-A175-A0C367C724EF}" name="Column13"/>
    <tableColumn id="14" xr3:uid="{CD121EFD-0E84-4A31-8486-BD36D60EA59B}" name="Column14"/>
    <tableColumn id="15" xr3:uid="{265DB39F-7787-4338-A1E3-2F03A0AEA55F}" name="Column15"/>
    <tableColumn id="16" xr3:uid="{98E0F8CD-3FFF-474A-B8CB-EF3ED2A51493}" name="Column16"/>
    <tableColumn id="17" xr3:uid="{6588D592-50FE-42D6-8345-EF15BF2899D9}" name="Column17"/>
    <tableColumn id="18" xr3:uid="{AA140C5F-CD98-4124-BE98-CC6C60596221}" name="Column18"/>
    <tableColumn id="19" xr3:uid="{22C272D3-E395-45EE-82EC-7097FAD3665A}" name="Column19"/>
    <tableColumn id="20" xr3:uid="{021A0EA4-9DA2-4765-AF2B-4E6188C52BD4}" name="Column20"/>
    <tableColumn id="21" xr3:uid="{30349153-08E9-4A19-89C3-3E366D90ADA7}" name="Column21"/>
    <tableColumn id="22" xr3:uid="{3C6B9B30-091F-4B45-AD08-6A2D77E7EC8B}" name="Column22"/>
    <tableColumn id="23" xr3:uid="{858CFA3D-03AB-424A-B45A-ADCC4D531A30}" name="Column23"/>
    <tableColumn id="24" xr3:uid="{35F884A1-23E7-4CAF-A96F-F05926BCFF49}" name="Column24"/>
    <tableColumn id="25" xr3:uid="{5E96D588-ED89-4D89-B1D5-DF450E82B392}" name="Column25"/>
    <tableColumn id="26" xr3:uid="{7D1C12FF-5A8F-4953-877B-E3881A7DA923}" name="Column26"/>
    <tableColumn id="27" xr3:uid="{79F12620-9BF8-4F8D-95E8-2AE79052BF98}" name="Column27"/>
    <tableColumn id="28" xr3:uid="{C0C82CE3-D723-449E-A246-EA1D07B95E7E}" name="Column28"/>
    <tableColumn id="29" xr3:uid="{239BF407-6332-42EE-9232-AE9CDBF4C247}" name="Column29"/>
    <tableColumn id="30" xr3:uid="{C27EE2E8-CFDC-4183-BFB8-342B72FDAA62}" name="Column30"/>
    <tableColumn id="31" xr3:uid="{8490570F-6CDF-4B1E-98B0-93128C26A0B0}" name="Column31"/>
    <tableColumn id="32" xr3:uid="{BB788269-EC14-4B89-96A6-FE01487C4C2E}" name="Column32">
      <calculatedColumnFormula>SUM(F3:AF3)</calculatedColumnFormula>
    </tableColumn>
    <tableColumn id="33" xr3:uid="{E0078D97-C1B0-4DD8-9D73-B54B7B723796}" name="Column33" dataDxfId="71">
      <calculatedColumnFormula>SUM(F3:AF3)/COUNT(F3:AF3)*100</calculatedColumnFormula>
    </tableColumn>
  </tableColumns>
  <tableStyleInfo name="TableStyleMedium2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FA99D0-DCA6-45B2-B7AE-B6DB63968A83}" name="Table5" displayName="Table5" ref="B26:AH47" totalsRowShown="0" headerRowDxfId="70" dataDxfId="68" headerRowBorderDxfId="69" tableBorderDxfId="67" totalsRowBorderDxfId="66">
  <autoFilter ref="B26:AH47" xr:uid="{76FA99D0-DCA6-45B2-B7AE-B6DB63968A83}"/>
  <tableColumns count="33">
    <tableColumn id="1" xr3:uid="{78D51243-1374-46E5-911C-38CA117D95A7}" name="Column1" dataDxfId="65" totalsRowDxfId="64"/>
    <tableColumn id="2" xr3:uid="{8B69EA8B-3146-46E0-9BB8-345ADD188D48}" name="Column2" dataDxfId="63" totalsRowDxfId="62"/>
    <tableColumn id="3" xr3:uid="{A1D2F119-DCA1-403A-8267-5588AD7E43B7}" name="Column3" dataDxfId="61" totalsRowDxfId="60"/>
    <tableColumn id="4" xr3:uid="{FEF9914B-E4FB-4B2F-907E-3023D784C1CE}" name="Column4" dataDxfId="59" totalsRowDxfId="58"/>
    <tableColumn id="5" xr3:uid="{05BF0153-C75E-4D95-A86C-9075FD517A94}" name="Column5" dataDxfId="57" totalsRowDxfId="56"/>
    <tableColumn id="6" xr3:uid="{877F95CF-2F60-4D4A-A03A-4619239C13B4}" name="Column6" dataDxfId="55" totalsRowDxfId="54"/>
    <tableColumn id="7" xr3:uid="{5B215393-7E8B-4B45-85E8-5C9AF57A7A38}" name="Column7" dataDxfId="53" totalsRowDxfId="52"/>
    <tableColumn id="8" xr3:uid="{90A0BB2A-91F9-493C-A48A-BB53234BF7B0}" name="Column8" dataDxfId="51" totalsRowDxfId="50"/>
    <tableColumn id="9" xr3:uid="{80F316AC-86A5-4B5C-804E-8E1E1A9DECA7}" name="Column9" dataDxfId="49" totalsRowDxfId="48"/>
    <tableColumn id="10" xr3:uid="{7FB50232-24DF-4642-973F-7E4E0DCFDB61}" name="Column10" dataDxfId="47" totalsRowDxfId="46"/>
    <tableColumn id="11" xr3:uid="{AE808253-BA62-42C4-851F-DF1FD033A4F3}" name="Column11" dataDxfId="45" totalsRowDxfId="44"/>
    <tableColumn id="12" xr3:uid="{D2387C57-A5C9-4200-A616-93ADF71D1AAE}" name="Column12" dataDxfId="43" totalsRowDxfId="42"/>
    <tableColumn id="13" xr3:uid="{BB502A89-9426-4D79-B861-139B44F57CCB}" name="Column13" dataDxfId="41" totalsRowDxfId="40"/>
    <tableColumn id="14" xr3:uid="{5CC1F090-AD83-4BAE-8FF9-E1B89D53893E}" name="Column14" dataDxfId="39" totalsRowDxfId="38"/>
    <tableColumn id="15" xr3:uid="{9C34222E-B767-4A03-91D8-A2AFFAB0E77F}" name="Column15" dataDxfId="37" totalsRowDxfId="36"/>
    <tableColumn id="16" xr3:uid="{1C14A4C0-DFA2-4E69-BCDB-BC3E2C162877}" name="Column16" dataDxfId="35" totalsRowDxfId="34"/>
    <tableColumn id="17" xr3:uid="{C402BE0E-C5BD-48FC-90E8-764918191903}" name="Column17" dataDxfId="33" totalsRowDxfId="32"/>
    <tableColumn id="18" xr3:uid="{C6B9819F-4093-4E6C-86BC-BB9E7B4F9538}" name="Column18" dataDxfId="31" totalsRowDxfId="30"/>
    <tableColumn id="19" xr3:uid="{15B36BCC-1F7B-4FF3-B867-870347D99620}" name="Column19" dataDxfId="29" totalsRowDxfId="28"/>
    <tableColumn id="20" xr3:uid="{4E34139A-3E8A-4129-B8EC-714378E3BE1D}" name="Column20" dataDxfId="27" totalsRowDxfId="26"/>
    <tableColumn id="21" xr3:uid="{66F96596-8B17-4983-B455-1471B1FCD8F3}" name="Column21" dataDxfId="25" totalsRowDxfId="24"/>
    <tableColumn id="22" xr3:uid="{27F772BA-9C48-4DB3-A60C-82BF3C949C48}" name="Column22" dataDxfId="23" totalsRowDxfId="22"/>
    <tableColumn id="23" xr3:uid="{095463AA-42B5-4AFA-9A6C-1F1598AC7156}" name="Column23" dataDxfId="21" totalsRowDxfId="20"/>
    <tableColumn id="24" xr3:uid="{62E5BC57-731D-4175-8327-EFCCF31A2028}" name="Column24" dataDxfId="19" totalsRowDxfId="18"/>
    <tableColumn id="25" xr3:uid="{54A7F43C-A727-448C-B518-24FE7688CB85}" name="Column25" dataDxfId="17" totalsRowDxfId="16"/>
    <tableColumn id="26" xr3:uid="{E051ED37-E167-4EC4-A352-BC2F835B29DA}" name="Column26" dataDxfId="15" totalsRowDxfId="14"/>
    <tableColumn id="27" xr3:uid="{5ED9A838-7ACB-49FD-8EF7-651E444CE9A5}" name="Column27" dataDxfId="13" totalsRowDxfId="12"/>
    <tableColumn id="28" xr3:uid="{8A3B7A60-6D12-40E4-9EC8-E7BB5049C741}" name="Column28" dataDxfId="11" totalsRowDxfId="10"/>
    <tableColumn id="29" xr3:uid="{CFB77627-4E52-4153-B4B4-BB4F301BFC58}" name="Column29" dataDxfId="9" totalsRowDxfId="8"/>
    <tableColumn id="30" xr3:uid="{F6DFC3BB-9C1C-4B67-86EF-C9A01856E435}" name="Column30" dataDxfId="7" totalsRowDxfId="6"/>
    <tableColumn id="31" xr3:uid="{86ED639B-206B-487F-8785-F8E441F94F80}" name="Column31" dataDxfId="5" totalsRowDxfId="4"/>
    <tableColumn id="32" xr3:uid="{21D8C2F2-246D-4948-BCD7-779C1E477991}" name="Column32" dataDxfId="3" totalsRowDxfId="2">
      <calculatedColumnFormula>SUM(F27:AF27)</calculatedColumnFormula>
    </tableColumn>
    <tableColumn id="33" xr3:uid="{354D2773-46A6-4479-98BE-B33F66BFE355}" name="Column33" dataDxfId="1" totalsRowDxfId="0">
      <calculatedColumnFormula>SUM(F27:AF27)/COUNT(F27:AF27)*100</calculatedColumnFormula>
    </tableColumn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3D3FC-046C-4A59-915F-E9153B87F5E2}">
  <dimension ref="B1:BR57"/>
  <sheetViews>
    <sheetView tabSelected="1" zoomScale="85" zoomScaleNormal="85" workbookViewId="0">
      <selection activeCell="H37" sqref="H37"/>
    </sheetView>
  </sheetViews>
  <sheetFormatPr defaultRowHeight="15" x14ac:dyDescent="0.25"/>
  <cols>
    <col min="2" max="2" width="10.5703125" customWidth="1"/>
    <col min="3" max="3" width="15.42578125" customWidth="1"/>
    <col min="4" max="4" width="14.85546875" customWidth="1"/>
    <col min="5" max="5" width="10.5703125" customWidth="1"/>
    <col min="6" max="32" width="4.5703125" customWidth="1"/>
    <col min="33" max="34" width="11.5703125" customWidth="1"/>
    <col min="35" max="35" width="9.140625" customWidth="1"/>
    <col min="36" max="36" width="13" customWidth="1"/>
    <col min="37" max="37" width="11.7109375" customWidth="1"/>
    <col min="38" max="38" width="7.140625" customWidth="1"/>
    <col min="39" max="39" width="10.42578125" customWidth="1"/>
    <col min="40" max="43" width="5.5703125" customWidth="1"/>
    <col min="44" max="70" width="5.28515625" customWidth="1"/>
  </cols>
  <sheetData>
    <row r="1" spans="2:70" x14ac:dyDescent="0.25">
      <c r="B1" t="s">
        <v>0</v>
      </c>
      <c r="C1" t="s">
        <v>1</v>
      </c>
      <c r="D1" t="s">
        <v>2</v>
      </c>
      <c r="E1" t="s">
        <v>3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 t="s">
        <v>5</v>
      </c>
      <c r="AH1" t="s">
        <v>4</v>
      </c>
      <c r="AR1" s="15" t="s">
        <v>39</v>
      </c>
      <c r="AS1" s="15" t="s">
        <v>40</v>
      </c>
      <c r="AT1" s="15" t="s">
        <v>41</v>
      </c>
      <c r="AU1" s="15" t="s">
        <v>42</v>
      </c>
      <c r="AV1" s="15" t="s">
        <v>43</v>
      </c>
      <c r="AW1" s="15" t="s">
        <v>44</v>
      </c>
      <c r="AX1" s="15" t="s">
        <v>45</v>
      </c>
      <c r="AY1" s="15" t="s">
        <v>46</v>
      </c>
      <c r="AZ1" s="15" t="s">
        <v>47</v>
      </c>
      <c r="BA1" s="15" t="s">
        <v>48</v>
      </c>
      <c r="BB1" s="15" t="s">
        <v>49</v>
      </c>
      <c r="BC1" s="15" t="s">
        <v>50</v>
      </c>
      <c r="BD1" s="15" t="s">
        <v>51</v>
      </c>
      <c r="BE1" s="15" t="s">
        <v>52</v>
      </c>
      <c r="BF1" s="15" t="s">
        <v>53</v>
      </c>
      <c r="BG1" s="15" t="s">
        <v>54</v>
      </c>
      <c r="BH1" s="15" t="s">
        <v>55</v>
      </c>
      <c r="BI1" s="15" t="s">
        <v>56</v>
      </c>
      <c r="BJ1" s="15" t="s">
        <v>57</v>
      </c>
      <c r="BK1" s="15" t="s">
        <v>58</v>
      </c>
      <c r="BL1" s="15" t="s">
        <v>59</v>
      </c>
      <c r="BM1" s="15" t="s">
        <v>60</v>
      </c>
      <c r="BN1" s="15" t="s">
        <v>61</v>
      </c>
      <c r="BO1" s="15" t="s">
        <v>62</v>
      </c>
      <c r="BP1" s="15" t="s">
        <v>63</v>
      </c>
      <c r="BQ1" s="15" t="s">
        <v>64</v>
      </c>
      <c r="BR1" s="15" t="s">
        <v>65</v>
      </c>
    </row>
    <row r="2" spans="2:70" hidden="1" x14ac:dyDescent="0.25"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R2" s="2">
        <v>0</v>
      </c>
      <c r="AS2" s="2">
        <v>0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0</v>
      </c>
      <c r="BB2" s="2">
        <v>1</v>
      </c>
      <c r="BC2" s="2">
        <v>1</v>
      </c>
      <c r="BD2" s="2">
        <v>1</v>
      </c>
      <c r="BE2" s="2">
        <v>0</v>
      </c>
      <c r="BF2" s="2">
        <v>0</v>
      </c>
      <c r="BG2" s="2">
        <v>0</v>
      </c>
      <c r="BH2" s="2">
        <v>0</v>
      </c>
      <c r="BI2" s="2">
        <v>1</v>
      </c>
      <c r="BJ2" s="2">
        <v>1</v>
      </c>
      <c r="BK2" s="2">
        <v>1</v>
      </c>
      <c r="BL2" s="2">
        <v>0</v>
      </c>
      <c r="BM2" s="2">
        <v>1</v>
      </c>
      <c r="BN2" s="2">
        <v>0</v>
      </c>
      <c r="BO2" s="2">
        <v>0</v>
      </c>
      <c r="BP2" s="2">
        <v>0</v>
      </c>
      <c r="BQ2" s="2">
        <v>1</v>
      </c>
      <c r="BR2" s="2">
        <v>1</v>
      </c>
    </row>
    <row r="3" spans="2:70" x14ac:dyDescent="0.25">
      <c r="B3" t="s">
        <v>75</v>
      </c>
      <c r="C3" t="s">
        <v>75</v>
      </c>
      <c r="D3" t="s">
        <v>75</v>
      </c>
      <c r="E3" t="s">
        <v>75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f>SUM(F3:AF3)</f>
        <v>16</v>
      </c>
      <c r="AH3" s="4">
        <f>SUM(F3:AF3)/COUNT(F3:AF3)*100</f>
        <v>59.259259259259252</v>
      </c>
      <c r="AJ3" s="20" t="s">
        <v>69</v>
      </c>
      <c r="AK3" s="21">
        <f>AVERAGE(AL7:AL47)</f>
        <v>47.151219512195112</v>
      </c>
      <c r="AR3" s="1">
        <v>0</v>
      </c>
      <c r="AS3" s="1">
        <v>1</v>
      </c>
      <c r="AT3" s="1">
        <v>1</v>
      </c>
      <c r="AU3" s="1">
        <v>0</v>
      </c>
      <c r="AV3" s="1">
        <v>0</v>
      </c>
      <c r="AW3" s="1">
        <v>0</v>
      </c>
      <c r="AX3" s="1">
        <v>1</v>
      </c>
      <c r="AY3" s="1">
        <v>1</v>
      </c>
      <c r="AZ3" s="1">
        <v>1</v>
      </c>
      <c r="BA3" s="1">
        <v>1</v>
      </c>
      <c r="BB3" s="1">
        <v>1</v>
      </c>
      <c r="BC3" s="1">
        <v>0</v>
      </c>
      <c r="BD3" s="1">
        <v>1</v>
      </c>
      <c r="BE3" s="1">
        <v>1</v>
      </c>
      <c r="BF3" s="1">
        <v>1</v>
      </c>
      <c r="BG3" s="1">
        <v>0</v>
      </c>
      <c r="BH3" s="1">
        <v>1</v>
      </c>
      <c r="BI3" s="1">
        <v>1</v>
      </c>
      <c r="BJ3" s="1">
        <v>0</v>
      </c>
      <c r="BK3" s="1">
        <v>1</v>
      </c>
      <c r="BL3" s="1">
        <v>0</v>
      </c>
      <c r="BM3" s="1">
        <v>1</v>
      </c>
      <c r="BN3" s="1">
        <v>1</v>
      </c>
      <c r="BO3" s="1">
        <v>0</v>
      </c>
      <c r="BP3" s="1">
        <v>0</v>
      </c>
      <c r="BQ3" s="1">
        <v>1</v>
      </c>
      <c r="BR3" s="1">
        <v>1</v>
      </c>
    </row>
    <row r="4" spans="2:70" x14ac:dyDescent="0.25">
      <c r="B4" t="s">
        <v>75</v>
      </c>
      <c r="C4" t="s">
        <v>75</v>
      </c>
      <c r="D4" t="s">
        <v>75</v>
      </c>
      <c r="E4" t="s">
        <v>75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f t="shared" ref="AG4:AG22" si="0">SUM(F4:AF4)</f>
        <v>17</v>
      </c>
      <c r="AH4" s="4">
        <f t="shared" ref="AH4:AH22" si="1">SUM(F4:AF4)/COUNT(F4:AF4)*100</f>
        <v>62.962962962962962</v>
      </c>
      <c r="AJ4" s="20" t="s">
        <v>70</v>
      </c>
      <c r="AK4" s="21">
        <f>_xlfn.STDEV.P(AL7:AL47)</f>
        <v>16.98444226345379</v>
      </c>
      <c r="AR4" s="2">
        <v>0</v>
      </c>
      <c r="AS4" s="2">
        <v>1</v>
      </c>
      <c r="AT4" s="2">
        <v>1</v>
      </c>
      <c r="AU4" s="2">
        <v>0</v>
      </c>
      <c r="AV4" s="2">
        <v>0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  <c r="BE4" s="2">
        <v>1</v>
      </c>
      <c r="BF4" s="2">
        <v>1</v>
      </c>
      <c r="BG4" s="2">
        <v>0</v>
      </c>
      <c r="BH4" s="2">
        <v>1</v>
      </c>
      <c r="BI4" s="2">
        <v>1</v>
      </c>
      <c r="BJ4" s="2">
        <v>1</v>
      </c>
      <c r="BK4" s="2">
        <v>1</v>
      </c>
      <c r="BL4" s="2">
        <v>0</v>
      </c>
      <c r="BM4" s="2">
        <v>1</v>
      </c>
      <c r="BN4" s="2">
        <v>0</v>
      </c>
      <c r="BO4" s="2">
        <v>1</v>
      </c>
      <c r="BP4" s="2">
        <v>0</v>
      </c>
      <c r="BQ4" s="2">
        <v>0</v>
      </c>
      <c r="BR4" s="2">
        <v>1</v>
      </c>
    </row>
    <row r="5" spans="2:70" x14ac:dyDescent="0.25">
      <c r="B5" t="s">
        <v>75</v>
      </c>
      <c r="C5" t="s">
        <v>75</v>
      </c>
      <c r="D5" t="s">
        <v>75</v>
      </c>
      <c r="E5" t="s">
        <v>75</v>
      </c>
      <c r="F5">
        <v>0</v>
      </c>
      <c r="G5">
        <v>1</v>
      </c>
      <c r="H5">
        <v>1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1</v>
      </c>
      <c r="W5">
        <v>1</v>
      </c>
      <c r="X5">
        <v>1</v>
      </c>
      <c r="Y5">
        <v>1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1</v>
      </c>
      <c r="AG5">
        <f t="shared" si="0"/>
        <v>19</v>
      </c>
      <c r="AH5" s="4">
        <f t="shared" si="1"/>
        <v>70.370370370370367</v>
      </c>
      <c r="AR5" s="1">
        <v>0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1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1</v>
      </c>
      <c r="BJ5" s="1">
        <v>0</v>
      </c>
      <c r="BK5" s="1">
        <v>0</v>
      </c>
      <c r="BL5" s="1">
        <v>0</v>
      </c>
      <c r="BM5" s="1">
        <v>1</v>
      </c>
      <c r="BN5" s="1">
        <v>0</v>
      </c>
      <c r="BO5" s="1">
        <v>1</v>
      </c>
      <c r="BP5" s="1">
        <v>0</v>
      </c>
      <c r="BQ5" s="1">
        <v>0</v>
      </c>
      <c r="BR5" s="1">
        <v>1</v>
      </c>
    </row>
    <row r="6" spans="2:70" ht="15.75" thickBot="1" x14ac:dyDescent="0.3">
      <c r="B6" t="s">
        <v>75</v>
      </c>
      <c r="C6" t="s">
        <v>75</v>
      </c>
      <c r="D6" t="s">
        <v>75</v>
      </c>
      <c r="E6" t="s">
        <v>75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0</v>
      </c>
      <c r="N6">
        <v>0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0</v>
      </c>
      <c r="AF6">
        <v>1</v>
      </c>
      <c r="AG6">
        <f t="shared" si="0"/>
        <v>9</v>
      </c>
      <c r="AH6" s="4">
        <f t="shared" si="1"/>
        <v>33.333333333333329</v>
      </c>
      <c r="AJ6" s="18" t="s">
        <v>66</v>
      </c>
      <c r="AK6" s="19" t="s">
        <v>67</v>
      </c>
      <c r="AL6" t="s">
        <v>71</v>
      </c>
      <c r="AM6" t="s">
        <v>68</v>
      </c>
      <c r="AR6" s="2">
        <v>1</v>
      </c>
      <c r="AS6" s="2">
        <v>1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1</v>
      </c>
      <c r="BC6" s="2">
        <v>1</v>
      </c>
      <c r="BD6" s="2">
        <v>1</v>
      </c>
      <c r="BE6" s="2">
        <v>1</v>
      </c>
      <c r="BF6" s="2">
        <v>1</v>
      </c>
      <c r="BG6" s="2">
        <v>1</v>
      </c>
      <c r="BH6" s="2">
        <v>0</v>
      </c>
      <c r="BI6" s="2">
        <v>0</v>
      </c>
      <c r="BJ6" s="2">
        <v>1</v>
      </c>
      <c r="BK6" s="2">
        <v>0</v>
      </c>
      <c r="BL6" s="2">
        <v>0</v>
      </c>
      <c r="BM6" s="2">
        <v>0</v>
      </c>
      <c r="BN6" s="2">
        <v>1</v>
      </c>
      <c r="BO6" s="2">
        <v>1</v>
      </c>
      <c r="BP6" s="2">
        <v>0</v>
      </c>
      <c r="BQ6" s="2">
        <v>1</v>
      </c>
      <c r="BR6" s="2">
        <v>1</v>
      </c>
    </row>
    <row r="7" spans="2:70" x14ac:dyDescent="0.25">
      <c r="B7" t="s">
        <v>75</v>
      </c>
      <c r="C7" t="s">
        <v>75</v>
      </c>
      <c r="D7" t="s">
        <v>75</v>
      </c>
      <c r="E7" t="s">
        <v>75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1</v>
      </c>
      <c r="AD7">
        <v>0</v>
      </c>
      <c r="AE7">
        <v>1</v>
      </c>
      <c r="AF7">
        <v>1</v>
      </c>
      <c r="AG7">
        <f t="shared" si="0"/>
        <v>13</v>
      </c>
      <c r="AH7" s="4">
        <f t="shared" si="1"/>
        <v>48.148148148148145</v>
      </c>
      <c r="AJ7" s="18">
        <v>59.3</v>
      </c>
      <c r="AK7" s="19">
        <v>77.8</v>
      </c>
      <c r="AL7" s="5">
        <v>7.4</v>
      </c>
      <c r="AM7" s="3">
        <f t="shared" ref="AM7:AM47" si="2">_xlfn.NORM.DIST(AL7,$AK$3,$AK$4,FALSE)*41*13</f>
        <v>0.80931631673406901</v>
      </c>
      <c r="AN7" s="22" t="s">
        <v>72</v>
      </c>
      <c r="AO7" s="22"/>
      <c r="AP7" s="22" t="s">
        <v>74</v>
      </c>
      <c r="AR7" s="1">
        <v>1</v>
      </c>
      <c r="AS7" s="1">
        <v>1</v>
      </c>
      <c r="AT7" s="1">
        <v>1</v>
      </c>
      <c r="AU7" s="1">
        <v>1</v>
      </c>
      <c r="AV7" s="1">
        <v>0</v>
      </c>
      <c r="AW7" s="1">
        <v>1</v>
      </c>
      <c r="AX7" s="1">
        <v>0</v>
      </c>
      <c r="AY7" s="1">
        <v>1</v>
      </c>
      <c r="AZ7" s="1">
        <v>0</v>
      </c>
      <c r="BA7" s="1">
        <v>1</v>
      </c>
      <c r="BB7" s="1">
        <v>1</v>
      </c>
      <c r="BC7" s="1">
        <v>0</v>
      </c>
      <c r="BD7" s="1">
        <v>1</v>
      </c>
      <c r="BE7" s="1">
        <v>1</v>
      </c>
      <c r="BF7" s="1">
        <v>1</v>
      </c>
      <c r="BG7" s="1">
        <v>0</v>
      </c>
      <c r="BH7" s="1">
        <v>1</v>
      </c>
      <c r="BI7" s="1">
        <v>1</v>
      </c>
      <c r="BJ7" s="1">
        <v>0</v>
      </c>
      <c r="BK7" s="1">
        <v>1</v>
      </c>
      <c r="BL7" s="1">
        <v>0</v>
      </c>
      <c r="BM7" s="1">
        <v>0</v>
      </c>
      <c r="BN7" s="1">
        <v>0</v>
      </c>
      <c r="BO7" s="1">
        <v>1</v>
      </c>
      <c r="BP7" s="1">
        <v>0</v>
      </c>
      <c r="BQ7" s="1">
        <v>1</v>
      </c>
      <c r="BR7" s="1">
        <v>1</v>
      </c>
    </row>
    <row r="8" spans="2:70" x14ac:dyDescent="0.25">
      <c r="B8" t="s">
        <v>75</v>
      </c>
      <c r="C8" t="s">
        <v>75</v>
      </c>
      <c r="D8" t="s">
        <v>75</v>
      </c>
      <c r="E8" t="s">
        <v>75</v>
      </c>
      <c r="F8">
        <v>1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1</v>
      </c>
      <c r="U8">
        <v>0</v>
      </c>
      <c r="V8">
        <v>1</v>
      </c>
      <c r="W8">
        <v>1</v>
      </c>
      <c r="X8">
        <v>0</v>
      </c>
      <c r="Y8">
        <v>1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1</v>
      </c>
      <c r="AG8">
        <f t="shared" si="0"/>
        <v>17</v>
      </c>
      <c r="AH8" s="4">
        <f t="shared" si="1"/>
        <v>62.962962962962962</v>
      </c>
      <c r="AJ8" s="18">
        <v>63</v>
      </c>
      <c r="AK8" s="19">
        <v>51.9</v>
      </c>
      <c r="AL8" s="5">
        <v>11.1</v>
      </c>
      <c r="AM8" s="3">
        <f t="shared" si="2"/>
        <v>1.3159573881487445</v>
      </c>
      <c r="AN8">
        <v>0</v>
      </c>
      <c r="AO8">
        <v>-2</v>
      </c>
      <c r="AP8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1</v>
      </c>
      <c r="AX8" s="2">
        <v>1</v>
      </c>
      <c r="AY8" s="2">
        <v>1</v>
      </c>
      <c r="AZ8" s="2">
        <v>0</v>
      </c>
      <c r="BA8" s="2">
        <v>0</v>
      </c>
      <c r="BB8" s="2">
        <v>0</v>
      </c>
      <c r="BC8" s="2">
        <v>1</v>
      </c>
      <c r="BD8" s="2">
        <v>0</v>
      </c>
      <c r="BE8" s="2">
        <v>0</v>
      </c>
      <c r="BF8" s="2">
        <v>0</v>
      </c>
      <c r="BG8" s="2">
        <v>1</v>
      </c>
      <c r="BH8" s="2">
        <v>1</v>
      </c>
      <c r="BI8" s="2">
        <v>0</v>
      </c>
      <c r="BJ8" s="2">
        <v>1</v>
      </c>
      <c r="BK8" s="2">
        <v>1</v>
      </c>
      <c r="BL8" s="2">
        <v>1</v>
      </c>
      <c r="BM8" s="2">
        <v>0</v>
      </c>
      <c r="BN8" s="2">
        <v>1</v>
      </c>
      <c r="BO8" s="2">
        <v>1</v>
      </c>
      <c r="BP8" s="2">
        <v>0</v>
      </c>
      <c r="BQ8" s="2">
        <v>0</v>
      </c>
      <c r="BR8" s="2">
        <v>1</v>
      </c>
    </row>
    <row r="9" spans="2:70" x14ac:dyDescent="0.25">
      <c r="B9" t="s">
        <v>75</v>
      </c>
      <c r="C9" t="s">
        <v>75</v>
      </c>
      <c r="D9" t="s">
        <v>75</v>
      </c>
      <c r="E9" t="s">
        <v>75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f t="shared" si="0"/>
        <v>12</v>
      </c>
      <c r="AH9" s="4">
        <f t="shared" si="1"/>
        <v>44.444444444444443</v>
      </c>
      <c r="AJ9" s="18">
        <v>70.400000000000006</v>
      </c>
      <c r="AK9" s="19">
        <v>51.9</v>
      </c>
      <c r="AL9" s="5">
        <v>22.2</v>
      </c>
      <c r="AM9" s="3">
        <f t="shared" si="2"/>
        <v>4.2554978069784193</v>
      </c>
      <c r="AN9" s="23">
        <v>15</v>
      </c>
      <c r="AO9" s="23">
        <v>7.5</v>
      </c>
      <c r="AP9" s="23">
        <v>2</v>
      </c>
      <c r="AR9" s="1">
        <v>0</v>
      </c>
      <c r="AS9" s="1">
        <v>1</v>
      </c>
      <c r="AT9" s="1">
        <v>1</v>
      </c>
      <c r="AU9" s="1">
        <v>0</v>
      </c>
      <c r="AV9" s="1">
        <v>1</v>
      </c>
      <c r="AW9" s="1">
        <v>1</v>
      </c>
      <c r="AX9" s="1">
        <v>1</v>
      </c>
      <c r="AY9" s="1">
        <v>0</v>
      </c>
      <c r="AZ9" s="1">
        <v>0</v>
      </c>
      <c r="BA9" s="1">
        <v>0</v>
      </c>
      <c r="BB9" s="1">
        <v>1</v>
      </c>
      <c r="BC9" s="1">
        <v>1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1</v>
      </c>
      <c r="BL9" s="1">
        <v>1</v>
      </c>
      <c r="BM9" s="1">
        <v>1</v>
      </c>
      <c r="BN9" s="1">
        <v>0</v>
      </c>
      <c r="BO9" s="1">
        <v>0</v>
      </c>
      <c r="BP9" s="1">
        <v>0</v>
      </c>
      <c r="BQ9" s="1">
        <v>1</v>
      </c>
      <c r="BR9" s="1">
        <v>1</v>
      </c>
    </row>
    <row r="10" spans="2:70" x14ac:dyDescent="0.25">
      <c r="B10" t="s">
        <v>75</v>
      </c>
      <c r="C10" t="s">
        <v>75</v>
      </c>
      <c r="D10" t="s">
        <v>75</v>
      </c>
      <c r="E10" t="s">
        <v>75</v>
      </c>
      <c r="F10">
        <v>0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>
        <v>1</v>
      </c>
      <c r="AF10">
        <v>1</v>
      </c>
      <c r="AG10">
        <f t="shared" si="0"/>
        <v>12</v>
      </c>
      <c r="AH10" s="4">
        <f t="shared" si="1"/>
        <v>44.444444444444443</v>
      </c>
      <c r="AJ10" s="18">
        <v>33.299999999999997</v>
      </c>
      <c r="AK10" s="19">
        <v>63</v>
      </c>
      <c r="AL10" s="5">
        <v>25.9</v>
      </c>
      <c r="AM10" s="3">
        <f t="shared" si="2"/>
        <v>5.7231158471044532</v>
      </c>
      <c r="AN10">
        <v>30</v>
      </c>
      <c r="AO10">
        <v>22.5</v>
      </c>
      <c r="AP10">
        <v>5</v>
      </c>
      <c r="AR10" s="2">
        <v>0</v>
      </c>
      <c r="AS10" s="2">
        <v>0</v>
      </c>
      <c r="AT10" s="2">
        <v>1</v>
      </c>
      <c r="AU10" s="2">
        <v>0</v>
      </c>
      <c r="AV10" s="2">
        <v>0</v>
      </c>
      <c r="AW10" s="2">
        <v>0</v>
      </c>
      <c r="AX10" s="2">
        <v>0</v>
      </c>
      <c r="AY10" s="2">
        <v>1</v>
      </c>
      <c r="AZ10" s="2">
        <v>0</v>
      </c>
      <c r="BA10" s="2">
        <v>0</v>
      </c>
      <c r="BB10" s="2">
        <v>1</v>
      </c>
      <c r="BC10" s="2">
        <v>1</v>
      </c>
      <c r="BD10" s="2">
        <v>1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1</v>
      </c>
      <c r="BK10" s="2">
        <v>1</v>
      </c>
      <c r="BL10" s="2">
        <v>0</v>
      </c>
      <c r="BM10" s="2">
        <v>0</v>
      </c>
      <c r="BN10" s="2">
        <v>0</v>
      </c>
      <c r="BO10" s="2">
        <v>0</v>
      </c>
      <c r="BP10" s="2">
        <v>1</v>
      </c>
      <c r="BQ10" s="2">
        <v>1</v>
      </c>
      <c r="BR10" s="2">
        <v>1</v>
      </c>
    </row>
    <row r="11" spans="2:70" x14ac:dyDescent="0.25">
      <c r="B11" t="s">
        <v>75</v>
      </c>
      <c r="C11" t="s">
        <v>75</v>
      </c>
      <c r="D11" t="s">
        <v>75</v>
      </c>
      <c r="E11" t="s">
        <v>75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1</v>
      </c>
      <c r="AG11">
        <f t="shared" si="0"/>
        <v>10</v>
      </c>
      <c r="AH11" s="4">
        <f t="shared" si="1"/>
        <v>37.037037037037038</v>
      </c>
      <c r="AJ11" s="18">
        <v>48.1</v>
      </c>
      <c r="AK11" s="19">
        <v>29.6</v>
      </c>
      <c r="AL11" s="5">
        <v>25.9</v>
      </c>
      <c r="AM11" s="3">
        <f t="shared" si="2"/>
        <v>5.7231158471044532</v>
      </c>
      <c r="AN11" s="23">
        <v>42</v>
      </c>
      <c r="AO11" s="23">
        <v>36</v>
      </c>
      <c r="AP11" s="23">
        <v>9</v>
      </c>
      <c r="AR11" s="1">
        <v>1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1</v>
      </c>
      <c r="BC11" s="1">
        <v>0</v>
      </c>
      <c r="BD11" s="1">
        <v>1</v>
      </c>
      <c r="BE11" s="1">
        <v>1</v>
      </c>
      <c r="BF11" s="1">
        <v>0</v>
      </c>
      <c r="BG11" s="1">
        <v>1</v>
      </c>
      <c r="BH11" s="1">
        <v>0</v>
      </c>
      <c r="BI11" s="1">
        <v>0</v>
      </c>
      <c r="BJ11" s="1">
        <v>0</v>
      </c>
      <c r="BK11" s="1">
        <v>1</v>
      </c>
      <c r="BL11" s="1">
        <v>0</v>
      </c>
      <c r="BM11" s="1">
        <v>1</v>
      </c>
      <c r="BN11" s="1">
        <v>1</v>
      </c>
      <c r="BO11" s="1">
        <v>1</v>
      </c>
      <c r="BP11" s="1">
        <v>0</v>
      </c>
      <c r="BQ11" s="1">
        <v>0</v>
      </c>
      <c r="BR11" s="1">
        <v>1</v>
      </c>
    </row>
    <row r="12" spans="2:70" x14ac:dyDescent="0.25">
      <c r="B12" t="s">
        <v>75</v>
      </c>
      <c r="C12" t="s">
        <v>75</v>
      </c>
      <c r="D12" t="s">
        <v>75</v>
      </c>
      <c r="E12" t="s">
        <v>75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1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1</v>
      </c>
      <c r="AG12">
        <f t="shared" si="0"/>
        <v>11</v>
      </c>
      <c r="AH12" s="4">
        <f t="shared" si="1"/>
        <v>40.74074074074074</v>
      </c>
      <c r="AJ12" s="18">
        <v>63</v>
      </c>
      <c r="AK12" s="19">
        <v>55.6</v>
      </c>
      <c r="AL12" s="5">
        <v>29.6</v>
      </c>
      <c r="AM12" s="3">
        <f t="shared" si="2"/>
        <v>7.3401403112698382</v>
      </c>
      <c r="AN12">
        <v>55</v>
      </c>
      <c r="AO12">
        <v>48.5</v>
      </c>
      <c r="AP12">
        <v>12</v>
      </c>
      <c r="AR12" s="2">
        <v>1</v>
      </c>
      <c r="AS12" s="2">
        <v>1</v>
      </c>
      <c r="AT12" s="2">
        <v>1</v>
      </c>
      <c r="AU12" s="2">
        <v>1</v>
      </c>
      <c r="AV12" s="2">
        <v>0</v>
      </c>
      <c r="AW12" s="2">
        <v>1</v>
      </c>
      <c r="AX12" s="2">
        <v>1</v>
      </c>
      <c r="AY12" s="2">
        <v>1</v>
      </c>
      <c r="AZ12" s="2">
        <v>0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0</v>
      </c>
      <c r="BG12" s="2">
        <v>0</v>
      </c>
      <c r="BH12" s="2">
        <v>1</v>
      </c>
      <c r="BI12" s="2">
        <v>1</v>
      </c>
      <c r="BJ12" s="2">
        <v>1</v>
      </c>
      <c r="BK12" s="2">
        <v>1</v>
      </c>
      <c r="BL12" s="2">
        <v>0</v>
      </c>
      <c r="BM12" s="2">
        <v>0</v>
      </c>
      <c r="BN12" s="2">
        <v>1</v>
      </c>
      <c r="BO12" s="2">
        <v>0</v>
      </c>
      <c r="BP12" s="2">
        <v>1</v>
      </c>
      <c r="BQ12" s="2">
        <v>1</v>
      </c>
      <c r="BR12" s="2">
        <v>1</v>
      </c>
    </row>
    <row r="13" spans="2:70" x14ac:dyDescent="0.25">
      <c r="B13" t="s">
        <v>75</v>
      </c>
      <c r="C13" t="s">
        <v>75</v>
      </c>
      <c r="D13" t="s">
        <v>75</v>
      </c>
      <c r="E13" t="s">
        <v>75</v>
      </c>
      <c r="F13">
        <v>1</v>
      </c>
      <c r="G13">
        <v>1</v>
      </c>
      <c r="H13">
        <v>1</v>
      </c>
      <c r="I13">
        <v>1</v>
      </c>
      <c r="J13">
        <v>0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1</v>
      </c>
      <c r="AG13">
        <f t="shared" si="0"/>
        <v>20</v>
      </c>
      <c r="AH13" s="4">
        <f t="shared" si="1"/>
        <v>74.074074074074076</v>
      </c>
      <c r="AJ13" s="18">
        <v>44.4</v>
      </c>
      <c r="AK13" s="19">
        <v>51.9</v>
      </c>
      <c r="AL13" s="5">
        <v>29.6</v>
      </c>
      <c r="AM13" s="3">
        <f t="shared" si="2"/>
        <v>7.3401403112698382</v>
      </c>
      <c r="AN13" s="23">
        <v>65</v>
      </c>
      <c r="AO13" s="23">
        <v>60</v>
      </c>
      <c r="AP13" s="23">
        <v>9</v>
      </c>
      <c r="AR13" s="1">
        <v>0</v>
      </c>
      <c r="AS13" s="1">
        <v>0</v>
      </c>
      <c r="AT13" s="1">
        <v>0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0</v>
      </c>
      <c r="BB13" s="1">
        <v>0</v>
      </c>
      <c r="BC13" s="1">
        <v>1</v>
      </c>
      <c r="BD13" s="1">
        <v>1</v>
      </c>
      <c r="BE13" s="1">
        <v>0</v>
      </c>
      <c r="BF13" s="1">
        <v>0</v>
      </c>
      <c r="BG13" s="1">
        <v>0</v>
      </c>
      <c r="BH13" s="1">
        <v>1</v>
      </c>
      <c r="BI13" s="1">
        <v>1</v>
      </c>
      <c r="BJ13" s="1">
        <v>0</v>
      </c>
      <c r="BK13" s="1">
        <v>1</v>
      </c>
      <c r="BL13" s="1">
        <v>0</v>
      </c>
      <c r="BM13" s="1">
        <v>1</v>
      </c>
      <c r="BN13" s="1">
        <v>1</v>
      </c>
      <c r="BO13" s="1">
        <v>0</v>
      </c>
      <c r="BP13" s="1">
        <v>0</v>
      </c>
      <c r="BQ13" s="1">
        <v>1</v>
      </c>
      <c r="BR13" s="1">
        <v>1</v>
      </c>
    </row>
    <row r="14" spans="2:70" x14ac:dyDescent="0.25">
      <c r="B14" t="s">
        <v>75</v>
      </c>
      <c r="C14" t="s">
        <v>75</v>
      </c>
      <c r="D14" t="s">
        <v>75</v>
      </c>
      <c r="E14" t="s">
        <v>75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0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f t="shared" si="0"/>
        <v>15</v>
      </c>
      <c r="AH14" s="4">
        <f t="shared" si="1"/>
        <v>55.555555555555557</v>
      </c>
      <c r="AJ14" s="18">
        <v>44.4</v>
      </c>
      <c r="AK14" s="19">
        <v>33.299999999999997</v>
      </c>
      <c r="AL14" s="5">
        <v>33.299999999999997</v>
      </c>
      <c r="AM14" s="3">
        <f t="shared" si="2"/>
        <v>8.9777156417163191</v>
      </c>
      <c r="AN14">
        <v>80</v>
      </c>
      <c r="AO14">
        <v>72.5</v>
      </c>
      <c r="AP14">
        <v>3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1</v>
      </c>
      <c r="BG14" s="2">
        <v>0</v>
      </c>
      <c r="BH14" s="2">
        <v>1</v>
      </c>
      <c r="BI14" s="2">
        <v>0</v>
      </c>
      <c r="BJ14" s="2">
        <v>0</v>
      </c>
      <c r="BK14" s="2">
        <v>0</v>
      </c>
      <c r="BL14" s="2">
        <v>1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</row>
    <row r="15" spans="2:70" x14ac:dyDescent="0.25">
      <c r="B15" t="s">
        <v>75</v>
      </c>
      <c r="C15" t="s">
        <v>75</v>
      </c>
      <c r="D15" t="s">
        <v>75</v>
      </c>
      <c r="E15" t="s">
        <v>75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f t="shared" si="0"/>
        <v>3</v>
      </c>
      <c r="AH15" s="4">
        <f t="shared" si="1"/>
        <v>11.111111111111111</v>
      </c>
      <c r="AJ15" s="18">
        <v>37</v>
      </c>
      <c r="AK15" s="19">
        <v>40.700000000000003</v>
      </c>
      <c r="AL15" s="5">
        <v>33.299999999999997</v>
      </c>
      <c r="AM15" s="3">
        <f t="shared" si="2"/>
        <v>8.9777156417163191</v>
      </c>
      <c r="AN15" s="23">
        <v>100</v>
      </c>
      <c r="AO15" s="23">
        <v>90</v>
      </c>
      <c r="AP15" s="23">
        <v>1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0</v>
      </c>
      <c r="AY15" s="1">
        <v>1</v>
      </c>
      <c r="AZ15" s="1">
        <v>1</v>
      </c>
      <c r="BA15" s="1">
        <v>0</v>
      </c>
      <c r="BB15" s="1">
        <v>1</v>
      </c>
      <c r="BC15" s="1">
        <v>1</v>
      </c>
      <c r="BD15" s="1">
        <v>1</v>
      </c>
      <c r="BE15" s="1">
        <v>0</v>
      </c>
      <c r="BF15" s="1">
        <v>1</v>
      </c>
      <c r="BG15" s="1">
        <v>0</v>
      </c>
      <c r="BH15" s="1">
        <v>0</v>
      </c>
      <c r="BI15" s="1">
        <v>0</v>
      </c>
      <c r="BJ15" s="1">
        <v>1</v>
      </c>
      <c r="BK15" s="1">
        <v>1</v>
      </c>
      <c r="BL15" s="1">
        <v>0</v>
      </c>
      <c r="BM15" s="1">
        <v>0</v>
      </c>
      <c r="BN15" s="1">
        <v>0</v>
      </c>
      <c r="BO15" s="1">
        <v>0</v>
      </c>
      <c r="BP15" s="1">
        <v>1</v>
      </c>
      <c r="BQ15" s="1">
        <v>1</v>
      </c>
      <c r="BR15" s="1">
        <v>1</v>
      </c>
    </row>
    <row r="16" spans="2:70" ht="15.75" thickBot="1" x14ac:dyDescent="0.3">
      <c r="B16" t="s">
        <v>75</v>
      </c>
      <c r="C16" t="s">
        <v>75</v>
      </c>
      <c r="D16" t="s">
        <v>75</v>
      </c>
      <c r="E16" t="s">
        <v>75</v>
      </c>
      <c r="F16">
        <v>1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1</v>
      </c>
      <c r="AG16">
        <f t="shared" si="0"/>
        <v>13</v>
      </c>
      <c r="AH16" s="4">
        <f t="shared" si="1"/>
        <v>48.148148148148145</v>
      </c>
      <c r="AJ16" s="18">
        <v>40.700000000000003</v>
      </c>
      <c r="AK16" s="19">
        <v>92.6</v>
      </c>
      <c r="AL16" s="5">
        <v>37</v>
      </c>
      <c r="AM16" s="3">
        <f t="shared" si="2"/>
        <v>10.471695090579681</v>
      </c>
      <c r="AN16" s="17" t="s">
        <v>73</v>
      </c>
      <c r="AO16" s="17"/>
      <c r="AP16" s="17">
        <v>0</v>
      </c>
      <c r="AR16" s="2">
        <v>1</v>
      </c>
      <c r="AS16" s="2">
        <v>0</v>
      </c>
      <c r="AT16" s="2">
        <v>0</v>
      </c>
      <c r="AU16" s="2">
        <v>0</v>
      </c>
      <c r="AV16" s="2">
        <v>0</v>
      </c>
      <c r="AW16" s="2">
        <v>1</v>
      </c>
      <c r="AX16" s="2">
        <v>0</v>
      </c>
      <c r="AY16" s="2">
        <v>1</v>
      </c>
      <c r="AZ16" s="2">
        <v>1</v>
      </c>
      <c r="BA16" s="2">
        <v>1</v>
      </c>
      <c r="BB16" s="2">
        <v>0</v>
      </c>
      <c r="BC16" s="2">
        <v>0</v>
      </c>
      <c r="BD16" s="2">
        <v>1</v>
      </c>
      <c r="BE16" s="2">
        <v>0</v>
      </c>
      <c r="BF16" s="2">
        <v>0</v>
      </c>
      <c r="BG16" s="2">
        <v>1</v>
      </c>
      <c r="BH16" s="2">
        <v>1</v>
      </c>
      <c r="BI16" s="2">
        <v>0</v>
      </c>
      <c r="BJ16" s="2">
        <v>1</v>
      </c>
      <c r="BK16" s="2">
        <v>1</v>
      </c>
      <c r="BL16" s="2">
        <v>1</v>
      </c>
      <c r="BM16" s="2">
        <v>0</v>
      </c>
      <c r="BN16" s="2">
        <v>0</v>
      </c>
      <c r="BO16" s="2">
        <v>1</v>
      </c>
      <c r="BP16" s="2">
        <v>0</v>
      </c>
      <c r="BQ16" s="2">
        <v>1</v>
      </c>
      <c r="BR16" s="2">
        <v>1</v>
      </c>
    </row>
    <row r="17" spans="2:70" x14ac:dyDescent="0.25">
      <c r="B17" t="s">
        <v>75</v>
      </c>
      <c r="C17" t="s">
        <v>75</v>
      </c>
      <c r="D17" t="s">
        <v>75</v>
      </c>
      <c r="E17" t="s">
        <v>75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1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1</v>
      </c>
      <c r="AG17">
        <f t="shared" si="0"/>
        <v>14</v>
      </c>
      <c r="AH17" s="4">
        <f t="shared" si="1"/>
        <v>51.851851851851848</v>
      </c>
      <c r="AJ17" s="18">
        <v>74.099999999999994</v>
      </c>
      <c r="AK17" s="19">
        <v>25.9</v>
      </c>
      <c r="AL17" s="5">
        <v>37</v>
      </c>
      <c r="AM17" s="3">
        <f t="shared" si="2"/>
        <v>10.471695090579681</v>
      </c>
      <c r="AR17" s="1">
        <v>0</v>
      </c>
      <c r="AS17" s="1">
        <v>1</v>
      </c>
      <c r="AT17" s="1">
        <v>1</v>
      </c>
      <c r="AU17" s="1">
        <v>0</v>
      </c>
      <c r="AV17" s="1">
        <v>1</v>
      </c>
      <c r="AW17" s="1">
        <v>1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1</v>
      </c>
      <c r="BI17" s="1">
        <v>0</v>
      </c>
      <c r="BJ17" s="1">
        <v>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</row>
    <row r="18" spans="2:70" x14ac:dyDescent="0.25">
      <c r="B18" t="s">
        <v>75</v>
      </c>
      <c r="C18" t="s">
        <v>75</v>
      </c>
      <c r="D18" t="s">
        <v>75</v>
      </c>
      <c r="E18" t="s">
        <v>75</v>
      </c>
      <c r="F18">
        <v>0</v>
      </c>
      <c r="G18">
        <v>1</v>
      </c>
      <c r="H18">
        <v>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f t="shared" si="0"/>
        <v>6</v>
      </c>
      <c r="AH18" s="4">
        <f t="shared" si="1"/>
        <v>22.222222222222221</v>
      </c>
      <c r="AJ18" s="18">
        <v>55.6</v>
      </c>
      <c r="AK18" s="19">
        <v>59.3</v>
      </c>
      <c r="AL18" s="5">
        <v>40.700000000000003</v>
      </c>
      <c r="AM18" s="3">
        <f t="shared" si="2"/>
        <v>11.648172396267453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1</v>
      </c>
      <c r="AX18" s="2">
        <v>0</v>
      </c>
      <c r="AY18" s="2">
        <v>0</v>
      </c>
      <c r="AZ18" s="2">
        <v>0</v>
      </c>
      <c r="BA18" s="2">
        <v>0</v>
      </c>
      <c r="BB18" s="2">
        <v>1</v>
      </c>
      <c r="BC18" s="2">
        <v>1</v>
      </c>
      <c r="BD18" s="2">
        <v>1</v>
      </c>
      <c r="BE18" s="2">
        <v>0</v>
      </c>
      <c r="BF18" s="2">
        <v>0</v>
      </c>
      <c r="BG18" s="2">
        <v>1</v>
      </c>
      <c r="BH18" s="2">
        <v>0</v>
      </c>
      <c r="BI18" s="2">
        <v>1</v>
      </c>
      <c r="BJ18" s="2">
        <v>0</v>
      </c>
      <c r="BK18" s="2">
        <v>1</v>
      </c>
      <c r="BL18" s="2">
        <v>0</v>
      </c>
      <c r="BM18" s="2">
        <v>0</v>
      </c>
      <c r="BN18" s="2">
        <v>1</v>
      </c>
      <c r="BO18" s="2">
        <v>1</v>
      </c>
      <c r="BP18" s="2">
        <v>0</v>
      </c>
      <c r="BQ18" s="2">
        <v>0</v>
      </c>
      <c r="BR18" s="2">
        <v>1</v>
      </c>
    </row>
    <row r="19" spans="2:70" x14ac:dyDescent="0.25">
      <c r="B19" t="s">
        <v>75</v>
      </c>
      <c r="C19" t="s">
        <v>75</v>
      </c>
      <c r="D19" t="s">
        <v>75</v>
      </c>
      <c r="E19" t="s">
        <v>75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1</v>
      </c>
      <c r="AG19">
        <f t="shared" si="0"/>
        <v>11</v>
      </c>
      <c r="AH19" s="4">
        <f t="shared" si="1"/>
        <v>40.74074074074074</v>
      </c>
      <c r="AJ19" s="18">
        <v>11.1</v>
      </c>
      <c r="AK19" s="19">
        <v>40.700000000000003</v>
      </c>
      <c r="AL19" s="5">
        <v>40.700000000000003</v>
      </c>
      <c r="AM19" s="3">
        <f t="shared" si="2"/>
        <v>11.648172396267453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1</v>
      </c>
      <c r="AX19" s="1">
        <v>0</v>
      </c>
      <c r="AY19" s="1">
        <v>1</v>
      </c>
      <c r="AZ19" s="1">
        <v>0</v>
      </c>
      <c r="BA19" s="1">
        <v>0</v>
      </c>
      <c r="BB19" s="1">
        <v>1</v>
      </c>
      <c r="BC19" s="1">
        <v>1</v>
      </c>
      <c r="BD19" s="1">
        <v>0</v>
      </c>
      <c r="BE19" s="1">
        <v>0</v>
      </c>
      <c r="BF19" s="1">
        <v>1</v>
      </c>
      <c r="BG19" s="1">
        <v>1</v>
      </c>
      <c r="BH19" s="1">
        <v>1</v>
      </c>
      <c r="BI19" s="1">
        <v>0</v>
      </c>
      <c r="BJ19" s="1">
        <v>1</v>
      </c>
      <c r="BK19" s="1">
        <v>1</v>
      </c>
      <c r="BL19" s="1">
        <v>1</v>
      </c>
      <c r="BM19" s="1">
        <v>0</v>
      </c>
      <c r="BN19" s="1">
        <v>0</v>
      </c>
      <c r="BO19" s="1">
        <v>0</v>
      </c>
      <c r="BP19" s="1">
        <v>0</v>
      </c>
      <c r="BQ19" s="1">
        <v>1</v>
      </c>
      <c r="BR19" s="1">
        <v>1</v>
      </c>
    </row>
    <row r="20" spans="2:70" x14ac:dyDescent="0.25">
      <c r="B20" t="s">
        <v>75</v>
      </c>
      <c r="C20" t="s">
        <v>75</v>
      </c>
      <c r="D20" t="s">
        <v>75</v>
      </c>
      <c r="E20" t="s">
        <v>75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1</v>
      </c>
      <c r="AG20">
        <f t="shared" si="0"/>
        <v>12</v>
      </c>
      <c r="AH20" s="4">
        <f t="shared" si="1"/>
        <v>44.444444444444443</v>
      </c>
      <c r="AJ20" s="18">
        <v>48.1</v>
      </c>
      <c r="AK20" s="19">
        <v>37</v>
      </c>
      <c r="AL20" s="5">
        <v>40.700000000000003</v>
      </c>
      <c r="AM20" s="3">
        <f t="shared" si="2"/>
        <v>11.648172396267453</v>
      </c>
      <c r="AR20" s="2">
        <v>0</v>
      </c>
      <c r="AS20" s="2">
        <v>1</v>
      </c>
      <c r="AT20" s="2">
        <v>1</v>
      </c>
      <c r="AU20" s="2">
        <v>0</v>
      </c>
      <c r="AV20" s="2">
        <v>0</v>
      </c>
      <c r="AW20" s="2">
        <v>1</v>
      </c>
      <c r="AX20" s="2">
        <v>0</v>
      </c>
      <c r="AY20" s="2">
        <v>0</v>
      </c>
      <c r="AZ20" s="2">
        <v>1</v>
      </c>
      <c r="BA20" s="2">
        <v>1</v>
      </c>
      <c r="BB20" s="2">
        <v>1</v>
      </c>
      <c r="BC20" s="2">
        <v>0</v>
      </c>
      <c r="BD20" s="2">
        <v>1</v>
      </c>
      <c r="BE20" s="2">
        <v>0</v>
      </c>
      <c r="BF20" s="2">
        <v>1</v>
      </c>
      <c r="BG20" s="2">
        <v>0</v>
      </c>
      <c r="BH20" s="2">
        <v>1</v>
      </c>
      <c r="BI20" s="2">
        <v>0</v>
      </c>
      <c r="BJ20" s="2">
        <v>0</v>
      </c>
      <c r="BK20" s="2">
        <v>1</v>
      </c>
      <c r="BL20" s="2">
        <v>0</v>
      </c>
      <c r="BM20" s="2">
        <v>1</v>
      </c>
      <c r="BN20" s="2">
        <v>0</v>
      </c>
      <c r="BO20" s="2">
        <v>1</v>
      </c>
      <c r="BP20" s="2">
        <v>0</v>
      </c>
      <c r="BQ20" s="2">
        <v>1</v>
      </c>
      <c r="BR20" s="2">
        <v>1</v>
      </c>
    </row>
    <row r="21" spans="2:70" x14ac:dyDescent="0.25">
      <c r="B21" t="s">
        <v>75</v>
      </c>
      <c r="C21" t="s">
        <v>75</v>
      </c>
      <c r="D21" t="s">
        <v>75</v>
      </c>
      <c r="E21" t="s">
        <v>75</v>
      </c>
      <c r="F21">
        <v>0</v>
      </c>
      <c r="G21">
        <v>1</v>
      </c>
      <c r="H21">
        <v>1</v>
      </c>
      <c r="I21">
        <v>0</v>
      </c>
      <c r="J21">
        <v>0</v>
      </c>
      <c r="K21">
        <v>1</v>
      </c>
      <c r="L21">
        <v>0</v>
      </c>
      <c r="M21">
        <v>0</v>
      </c>
      <c r="N21">
        <v>1</v>
      </c>
      <c r="O21">
        <v>1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1</v>
      </c>
      <c r="W21">
        <v>0</v>
      </c>
      <c r="X21">
        <v>0</v>
      </c>
      <c r="Y21">
        <v>1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1</v>
      </c>
      <c r="AF21">
        <v>1</v>
      </c>
      <c r="AG21">
        <f t="shared" si="0"/>
        <v>14</v>
      </c>
      <c r="AH21" s="4">
        <f t="shared" si="1"/>
        <v>51.851851851851848</v>
      </c>
      <c r="AJ21" s="18">
        <v>51.9</v>
      </c>
      <c r="AK21" s="19">
        <v>25.9</v>
      </c>
      <c r="AL21" s="5">
        <v>40.700000000000003</v>
      </c>
      <c r="AM21" s="3">
        <f t="shared" si="2"/>
        <v>11.648172396267453</v>
      </c>
      <c r="AR21" s="1">
        <v>0</v>
      </c>
      <c r="AS21" s="1">
        <v>0</v>
      </c>
      <c r="AT21" s="1">
        <v>0</v>
      </c>
      <c r="AU21" s="1">
        <v>1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</row>
    <row r="22" spans="2:70" x14ac:dyDescent="0.25">
      <c r="B22" t="s">
        <v>75</v>
      </c>
      <c r="C22" t="s">
        <v>75</v>
      </c>
      <c r="D22" t="s">
        <v>75</v>
      </c>
      <c r="E22" t="s">
        <v>75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f t="shared" si="0"/>
        <v>2</v>
      </c>
      <c r="AH22" s="4">
        <f t="shared" si="1"/>
        <v>7.4074074074074066</v>
      </c>
      <c r="AJ22" s="18">
        <v>22.2</v>
      </c>
      <c r="AK22" s="19">
        <v>40.700000000000003</v>
      </c>
      <c r="AL22" s="5">
        <v>40.700000000000003</v>
      </c>
      <c r="AM22" s="3">
        <f t="shared" si="2"/>
        <v>11.648172396267453</v>
      </c>
      <c r="AR22" s="2">
        <v>1</v>
      </c>
      <c r="AS22" s="2">
        <v>1</v>
      </c>
      <c r="AT22" s="2">
        <v>1</v>
      </c>
      <c r="AU22" s="2">
        <v>1</v>
      </c>
      <c r="AV22" s="2">
        <v>0</v>
      </c>
      <c r="AW22" s="2">
        <v>1</v>
      </c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0</v>
      </c>
      <c r="BG22" s="2">
        <v>0</v>
      </c>
      <c r="BH22" s="2">
        <v>1</v>
      </c>
      <c r="BI22" s="2">
        <v>1</v>
      </c>
      <c r="BJ22" s="2">
        <v>1</v>
      </c>
      <c r="BK22" s="2">
        <v>1</v>
      </c>
      <c r="BL22" s="2">
        <v>0</v>
      </c>
      <c r="BM22" s="2">
        <v>1</v>
      </c>
      <c r="BN22" s="2">
        <v>1</v>
      </c>
      <c r="BO22" s="2">
        <v>0</v>
      </c>
      <c r="BP22" s="2">
        <v>0</v>
      </c>
      <c r="BQ22" s="2">
        <v>1</v>
      </c>
      <c r="BR22" s="2">
        <v>1</v>
      </c>
    </row>
    <row r="23" spans="2:70" x14ac:dyDescent="0.25">
      <c r="E23" t="s">
        <v>4</v>
      </c>
      <c r="F23">
        <f>SUM(F3:F22)/COUNT(F3:F22)*100</f>
        <v>35</v>
      </c>
      <c r="G23">
        <f t="shared" ref="G23:AF23" si="3">SUM(G3:G22)/COUNT(G3:G22)*100</f>
        <v>40</v>
      </c>
      <c r="H23">
        <f t="shared" si="3"/>
        <v>45</v>
      </c>
      <c r="I23">
        <f t="shared" si="3"/>
        <v>30</v>
      </c>
      <c r="J23">
        <f t="shared" si="3"/>
        <v>20</v>
      </c>
      <c r="K23">
        <f t="shared" si="3"/>
        <v>65</v>
      </c>
      <c r="L23">
        <f t="shared" si="3"/>
        <v>40</v>
      </c>
      <c r="M23">
        <f t="shared" si="3"/>
        <v>55.000000000000007</v>
      </c>
      <c r="N23">
        <f t="shared" si="3"/>
        <v>40</v>
      </c>
      <c r="O23">
        <f t="shared" si="3"/>
        <v>35</v>
      </c>
      <c r="P23">
        <f t="shared" si="3"/>
        <v>65</v>
      </c>
      <c r="Q23">
        <f t="shared" si="3"/>
        <v>55.000000000000007</v>
      </c>
      <c r="R23">
        <f t="shared" si="3"/>
        <v>75</v>
      </c>
      <c r="S23">
        <f t="shared" si="3"/>
        <v>30</v>
      </c>
      <c r="T23">
        <f t="shared" si="3"/>
        <v>40</v>
      </c>
      <c r="U23">
        <f t="shared" si="3"/>
        <v>30</v>
      </c>
      <c r="V23">
        <f t="shared" si="3"/>
        <v>60</v>
      </c>
      <c r="W23">
        <f t="shared" si="3"/>
        <v>40</v>
      </c>
      <c r="X23">
        <f t="shared" si="3"/>
        <v>50</v>
      </c>
      <c r="Y23">
        <f t="shared" si="3"/>
        <v>75</v>
      </c>
      <c r="Z23">
        <f t="shared" si="3"/>
        <v>25</v>
      </c>
      <c r="AA23">
        <f t="shared" si="3"/>
        <v>40</v>
      </c>
      <c r="AB23">
        <f t="shared" si="3"/>
        <v>35</v>
      </c>
      <c r="AC23">
        <f t="shared" si="3"/>
        <v>45</v>
      </c>
      <c r="AD23">
        <f t="shared" si="3"/>
        <v>15</v>
      </c>
      <c r="AE23">
        <f t="shared" si="3"/>
        <v>60</v>
      </c>
      <c r="AF23">
        <f t="shared" si="3"/>
        <v>85</v>
      </c>
      <c r="AH23" s="16">
        <f>AVERAGE(Table3[Column33])</f>
        <v>45.555555555555557</v>
      </c>
      <c r="AJ23" s="18">
        <v>40.700000000000003</v>
      </c>
      <c r="AK23" s="19">
        <v>63</v>
      </c>
      <c r="AL23" s="5">
        <v>44.4</v>
      </c>
      <c r="AM23" s="3">
        <f t="shared" si="2"/>
        <v>12.356294483061493</v>
      </c>
      <c r="AR23" s="1">
        <v>0</v>
      </c>
      <c r="AS23" s="1">
        <v>0</v>
      </c>
      <c r="AT23" s="1">
        <v>1</v>
      </c>
      <c r="AU23" s="1">
        <v>1</v>
      </c>
      <c r="AV23" s="1">
        <v>0</v>
      </c>
      <c r="AW23" s="1">
        <v>0</v>
      </c>
      <c r="AX23" s="1">
        <v>0</v>
      </c>
      <c r="AY23" s="1">
        <v>1</v>
      </c>
      <c r="AZ23" s="1">
        <v>0</v>
      </c>
      <c r="BA23" s="1">
        <v>0</v>
      </c>
      <c r="BB23" s="1">
        <v>1</v>
      </c>
      <c r="BC23" s="1">
        <v>0</v>
      </c>
      <c r="BD23" s="1">
        <v>1</v>
      </c>
      <c r="BE23" s="1">
        <v>1</v>
      </c>
      <c r="BF23" s="1">
        <v>0</v>
      </c>
      <c r="BG23" s="1">
        <v>0</v>
      </c>
      <c r="BH23" s="1">
        <v>1</v>
      </c>
      <c r="BI23" s="1">
        <v>0</v>
      </c>
      <c r="BJ23" s="1">
        <v>1</v>
      </c>
      <c r="BK23" s="1">
        <v>1</v>
      </c>
      <c r="BL23" s="1">
        <v>1</v>
      </c>
      <c r="BM23" s="1">
        <v>0</v>
      </c>
      <c r="BN23" s="1">
        <v>1</v>
      </c>
      <c r="BO23" s="1">
        <v>1</v>
      </c>
      <c r="BP23" s="1">
        <v>1</v>
      </c>
      <c r="BQ23" s="1">
        <v>0</v>
      </c>
      <c r="BR23" s="1">
        <v>1</v>
      </c>
    </row>
    <row r="24" spans="2:70" x14ac:dyDescent="0.25">
      <c r="AJ24" s="18">
        <v>44.4</v>
      </c>
      <c r="AK24" s="19">
        <v>48.1</v>
      </c>
      <c r="AL24" s="5">
        <v>44.4</v>
      </c>
      <c r="AM24" s="3">
        <f t="shared" si="2"/>
        <v>12.356294483061493</v>
      </c>
      <c r="AR24" s="2">
        <v>1</v>
      </c>
      <c r="AS24" s="2">
        <v>0</v>
      </c>
      <c r="AT24" s="2">
        <v>1</v>
      </c>
      <c r="AU24" s="2">
        <v>1</v>
      </c>
      <c r="AV24" s="2">
        <v>0</v>
      </c>
      <c r="AW24" s="2">
        <v>1</v>
      </c>
      <c r="AX24" s="2">
        <v>1</v>
      </c>
      <c r="AY24" s="2">
        <v>0</v>
      </c>
      <c r="AZ24" s="2">
        <v>0</v>
      </c>
      <c r="BA24" s="2">
        <v>1</v>
      </c>
      <c r="BB24" s="2">
        <v>0</v>
      </c>
      <c r="BC24" s="2">
        <v>0</v>
      </c>
      <c r="BD24" s="2">
        <v>1</v>
      </c>
      <c r="BE24" s="2">
        <v>0</v>
      </c>
      <c r="BF24" s="2">
        <v>1</v>
      </c>
      <c r="BG24" s="2">
        <v>0</v>
      </c>
      <c r="BH24" s="2">
        <v>0</v>
      </c>
      <c r="BI24" s="2">
        <v>0</v>
      </c>
      <c r="BJ24" s="2">
        <v>1</v>
      </c>
      <c r="BK24" s="2">
        <v>1</v>
      </c>
      <c r="BL24" s="2">
        <v>1</v>
      </c>
      <c r="BM24" s="2">
        <v>0</v>
      </c>
      <c r="BN24" s="2">
        <v>0</v>
      </c>
      <c r="BO24" s="2">
        <v>0</v>
      </c>
      <c r="BP24" s="2">
        <v>1</v>
      </c>
      <c r="BQ24" s="2">
        <v>1</v>
      </c>
      <c r="BR24" s="2">
        <v>1</v>
      </c>
    </row>
    <row r="25" spans="2:70" x14ac:dyDescent="0.25">
      <c r="B25" t="s">
        <v>0</v>
      </c>
      <c r="C25" t="s">
        <v>1</v>
      </c>
      <c r="D25" t="s">
        <v>2</v>
      </c>
      <c r="E25" t="s">
        <v>3</v>
      </c>
      <c r="F25">
        <v>1</v>
      </c>
      <c r="G25">
        <v>2</v>
      </c>
      <c r="H25">
        <v>3</v>
      </c>
      <c r="I25">
        <v>4</v>
      </c>
      <c r="J25">
        <v>5</v>
      </c>
      <c r="K25">
        <v>6</v>
      </c>
      <c r="L25">
        <v>7</v>
      </c>
      <c r="M25">
        <v>8</v>
      </c>
      <c r="N25">
        <v>9</v>
      </c>
      <c r="O25">
        <v>10</v>
      </c>
      <c r="P25">
        <v>11</v>
      </c>
      <c r="Q25">
        <v>12</v>
      </c>
      <c r="R25">
        <v>13</v>
      </c>
      <c r="S25">
        <v>14</v>
      </c>
      <c r="T25">
        <v>15</v>
      </c>
      <c r="U25">
        <v>16</v>
      </c>
      <c r="V25">
        <v>17</v>
      </c>
      <c r="W25">
        <v>18</v>
      </c>
      <c r="X25">
        <v>19</v>
      </c>
      <c r="Y25">
        <v>20</v>
      </c>
      <c r="Z25">
        <v>21</v>
      </c>
      <c r="AA25">
        <v>22</v>
      </c>
      <c r="AB25">
        <v>23</v>
      </c>
      <c r="AC25">
        <v>24</v>
      </c>
      <c r="AD25">
        <v>25</v>
      </c>
      <c r="AE25">
        <v>26</v>
      </c>
      <c r="AF25">
        <v>27</v>
      </c>
      <c r="AG25" t="s">
        <v>5</v>
      </c>
      <c r="AH25" t="s">
        <v>4</v>
      </c>
      <c r="AJ25" s="18">
        <v>51.9</v>
      </c>
      <c r="AK25" s="19">
        <v>29.6</v>
      </c>
      <c r="AL25" s="5">
        <v>44.4</v>
      </c>
      <c r="AM25" s="3">
        <f t="shared" si="2"/>
        <v>12.356294483061493</v>
      </c>
      <c r="AR25" s="1">
        <v>0</v>
      </c>
      <c r="AS25" s="1">
        <v>0</v>
      </c>
      <c r="AT25" s="1">
        <v>1</v>
      </c>
      <c r="AU25" s="1">
        <v>1</v>
      </c>
      <c r="AV25" s="1">
        <v>0</v>
      </c>
      <c r="AW25" s="1">
        <v>1</v>
      </c>
      <c r="AX25" s="1">
        <v>1</v>
      </c>
      <c r="AY25" s="1">
        <v>1</v>
      </c>
      <c r="AZ25" s="1">
        <v>0</v>
      </c>
      <c r="BA25" s="1">
        <v>0</v>
      </c>
      <c r="BB25" s="1">
        <v>1</v>
      </c>
      <c r="BC25" s="1">
        <v>1</v>
      </c>
      <c r="BD25" s="1">
        <v>1</v>
      </c>
      <c r="BE25" s="1">
        <v>0</v>
      </c>
      <c r="BF25" s="1">
        <v>1</v>
      </c>
      <c r="BG25" s="1">
        <v>1</v>
      </c>
      <c r="BH25" s="1">
        <v>1</v>
      </c>
      <c r="BI25" s="1">
        <v>0</v>
      </c>
      <c r="BJ25" s="1">
        <v>1</v>
      </c>
      <c r="BK25" s="1">
        <v>1</v>
      </c>
      <c r="BL25" s="1">
        <v>1</v>
      </c>
      <c r="BM25" s="1">
        <v>0</v>
      </c>
      <c r="BN25" s="1">
        <v>0</v>
      </c>
      <c r="BO25" s="1">
        <v>1</v>
      </c>
      <c r="BP25" s="1">
        <v>1</v>
      </c>
      <c r="BQ25" s="1">
        <v>0</v>
      </c>
      <c r="BR25" s="1">
        <v>1</v>
      </c>
    </row>
    <row r="26" spans="2:70" x14ac:dyDescent="0.25">
      <c r="B26" s="8" t="s">
        <v>6</v>
      </c>
      <c r="C26" s="9" t="s">
        <v>7</v>
      </c>
      <c r="D26" s="9" t="s">
        <v>8</v>
      </c>
      <c r="E26" s="9" t="s">
        <v>9</v>
      </c>
      <c r="F26" s="9" t="s">
        <v>10</v>
      </c>
      <c r="G26" s="9" t="s">
        <v>11</v>
      </c>
      <c r="H26" s="9" t="s">
        <v>12</v>
      </c>
      <c r="I26" s="9" t="s">
        <v>13</v>
      </c>
      <c r="J26" s="9" t="s">
        <v>14</v>
      </c>
      <c r="K26" s="9" t="s">
        <v>15</v>
      </c>
      <c r="L26" s="9" t="s">
        <v>16</v>
      </c>
      <c r="M26" s="9" t="s">
        <v>17</v>
      </c>
      <c r="N26" s="9" t="s">
        <v>18</v>
      </c>
      <c r="O26" s="9" t="s">
        <v>19</v>
      </c>
      <c r="P26" s="9" t="s">
        <v>20</v>
      </c>
      <c r="Q26" s="9" t="s">
        <v>21</v>
      </c>
      <c r="R26" s="9" t="s">
        <v>22</v>
      </c>
      <c r="S26" s="9" t="s">
        <v>23</v>
      </c>
      <c r="T26" s="9" t="s">
        <v>24</v>
      </c>
      <c r="U26" s="9" t="s">
        <v>25</v>
      </c>
      <c r="V26" s="9" t="s">
        <v>26</v>
      </c>
      <c r="W26" s="9" t="s">
        <v>27</v>
      </c>
      <c r="X26" s="9" t="s">
        <v>28</v>
      </c>
      <c r="Y26" s="9" t="s">
        <v>29</v>
      </c>
      <c r="Z26" s="9" t="s">
        <v>30</v>
      </c>
      <c r="AA26" s="9" t="s">
        <v>31</v>
      </c>
      <c r="AB26" s="9" t="s">
        <v>32</v>
      </c>
      <c r="AC26" s="9" t="s">
        <v>33</v>
      </c>
      <c r="AD26" s="9" t="s">
        <v>34</v>
      </c>
      <c r="AE26" s="9" t="s">
        <v>35</v>
      </c>
      <c r="AF26" s="9" t="s">
        <v>36</v>
      </c>
      <c r="AG26" s="9" t="s">
        <v>37</v>
      </c>
      <c r="AH26" s="10" t="s">
        <v>38</v>
      </c>
      <c r="AJ26" s="18">
        <v>7.4</v>
      </c>
      <c r="AK26" s="19">
        <v>44.4</v>
      </c>
      <c r="AL26" s="5">
        <v>44.4</v>
      </c>
      <c r="AM26" s="3">
        <f t="shared" si="2"/>
        <v>12.356294483061493</v>
      </c>
      <c r="AR26" s="2">
        <v>0</v>
      </c>
      <c r="AS26" s="2">
        <v>1</v>
      </c>
      <c r="AT26" s="2">
        <v>0</v>
      </c>
      <c r="AU26" s="2">
        <v>0</v>
      </c>
      <c r="AV26" s="2">
        <v>1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1</v>
      </c>
      <c r="BC26" s="2">
        <v>0</v>
      </c>
      <c r="BD26" s="2">
        <v>0</v>
      </c>
      <c r="BE26" s="2">
        <v>0</v>
      </c>
      <c r="BF26" s="2">
        <v>0</v>
      </c>
      <c r="BG26" s="2">
        <v>1</v>
      </c>
      <c r="BH26" s="2">
        <v>1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1</v>
      </c>
      <c r="BP26" s="2">
        <v>0</v>
      </c>
      <c r="BQ26" s="2">
        <v>1</v>
      </c>
      <c r="BR26" s="2">
        <v>1</v>
      </c>
    </row>
    <row r="27" spans="2:70" x14ac:dyDescent="0.25">
      <c r="B27" t="s">
        <v>75</v>
      </c>
      <c r="C27" t="s">
        <v>75</v>
      </c>
      <c r="D27" t="s">
        <v>75</v>
      </c>
      <c r="E27" t="s">
        <v>75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0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0</v>
      </c>
      <c r="W27" s="2">
        <v>1</v>
      </c>
      <c r="X27" s="2">
        <v>1</v>
      </c>
      <c r="Y27" s="2">
        <v>0</v>
      </c>
      <c r="Z27" s="2">
        <v>1</v>
      </c>
      <c r="AA27" s="2">
        <v>1</v>
      </c>
      <c r="AB27" s="2">
        <v>1</v>
      </c>
      <c r="AC27" s="2">
        <v>1</v>
      </c>
      <c r="AD27" s="2">
        <v>0</v>
      </c>
      <c r="AE27" s="2">
        <v>1</v>
      </c>
      <c r="AF27" s="2">
        <v>1</v>
      </c>
      <c r="AG27" s="2">
        <f>SUM(F27:AF27)</f>
        <v>21</v>
      </c>
      <c r="AH27" s="6">
        <f>SUM(F27:AF27)/COUNT(F27:AF27)*100</f>
        <v>77.777777777777786</v>
      </c>
      <c r="AK27" s="19">
        <v>59.3</v>
      </c>
      <c r="AL27" s="5">
        <v>48.1</v>
      </c>
      <c r="AM27" s="3">
        <f t="shared" si="2"/>
        <v>12.499952695343543</v>
      </c>
      <c r="AR27" s="1">
        <v>1</v>
      </c>
      <c r="AS27" s="1">
        <v>1</v>
      </c>
      <c r="AT27" s="1">
        <v>0</v>
      </c>
      <c r="AU27" s="1">
        <v>0</v>
      </c>
      <c r="AV27" s="1">
        <v>1</v>
      </c>
      <c r="AW27" s="1">
        <v>1</v>
      </c>
      <c r="AX27" s="1">
        <v>1</v>
      </c>
      <c r="AY27" s="1">
        <v>0</v>
      </c>
      <c r="AZ27" s="1">
        <v>1</v>
      </c>
      <c r="BA27" s="1">
        <v>1</v>
      </c>
      <c r="BB27" s="1">
        <v>1</v>
      </c>
      <c r="BC27" s="1">
        <v>1</v>
      </c>
      <c r="BD27" s="1">
        <v>0</v>
      </c>
      <c r="BE27" s="1">
        <v>0</v>
      </c>
      <c r="BF27" s="1">
        <v>0</v>
      </c>
      <c r="BG27" s="1">
        <v>1</v>
      </c>
      <c r="BH27" s="1">
        <v>1</v>
      </c>
      <c r="BI27" s="1">
        <v>1</v>
      </c>
      <c r="BJ27" s="1">
        <v>0</v>
      </c>
      <c r="BK27" s="1">
        <v>1</v>
      </c>
      <c r="BL27" s="1">
        <v>0</v>
      </c>
      <c r="BM27" s="1">
        <v>1</v>
      </c>
      <c r="BN27" s="1">
        <v>0</v>
      </c>
      <c r="BO27" s="1">
        <v>0</v>
      </c>
      <c r="BP27" s="1">
        <v>0</v>
      </c>
      <c r="BQ27" s="1">
        <v>0</v>
      </c>
      <c r="BR27" s="1">
        <v>1</v>
      </c>
    </row>
    <row r="28" spans="2:70" x14ac:dyDescent="0.25">
      <c r="B28" t="s">
        <v>75</v>
      </c>
      <c r="C28" t="s">
        <v>75</v>
      </c>
      <c r="D28" t="s">
        <v>75</v>
      </c>
      <c r="E28" t="s">
        <v>75</v>
      </c>
      <c r="F28" s="1">
        <v>0</v>
      </c>
      <c r="G28" s="1">
        <v>1</v>
      </c>
      <c r="H28" s="1">
        <v>1</v>
      </c>
      <c r="I28" s="1">
        <v>1</v>
      </c>
      <c r="J28" s="1">
        <v>0</v>
      </c>
      <c r="K28" s="1">
        <v>0</v>
      </c>
      <c r="L28" s="1">
        <v>1</v>
      </c>
      <c r="M28" s="1">
        <v>1</v>
      </c>
      <c r="N28" s="1">
        <v>1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1</v>
      </c>
      <c r="AB28" s="1">
        <v>0</v>
      </c>
      <c r="AC28" s="1">
        <v>0</v>
      </c>
      <c r="AD28" s="1">
        <v>1</v>
      </c>
      <c r="AE28" s="1">
        <v>0</v>
      </c>
      <c r="AF28" s="1">
        <v>1</v>
      </c>
      <c r="AG28" s="1">
        <f t="shared" ref="AG28:AG46" si="4">SUM(F28:AF28)</f>
        <v>14</v>
      </c>
      <c r="AH28" s="7">
        <f t="shared" ref="AH28:AH46" si="5">SUM(F28:AF28)/COUNT(F28:AF28)*100</f>
        <v>51.851851851851848</v>
      </c>
      <c r="AL28" s="5">
        <v>48.1</v>
      </c>
      <c r="AM28" s="3">
        <f t="shared" si="2"/>
        <v>12.499952695343543</v>
      </c>
      <c r="AR28" s="2">
        <v>0</v>
      </c>
      <c r="AS28" s="2">
        <v>1</v>
      </c>
      <c r="AT28" s="2">
        <v>1</v>
      </c>
      <c r="AU28" s="2">
        <v>1</v>
      </c>
      <c r="AV28" s="2">
        <v>0</v>
      </c>
      <c r="AW28" s="2">
        <v>1</v>
      </c>
      <c r="AX28" s="2">
        <v>1</v>
      </c>
      <c r="AY28" s="2">
        <v>1</v>
      </c>
      <c r="AZ28" s="2">
        <v>0</v>
      </c>
      <c r="BA28" s="2">
        <v>0</v>
      </c>
      <c r="BB28" s="2">
        <v>0</v>
      </c>
      <c r="BC28" s="2">
        <v>0</v>
      </c>
      <c r="BD28" s="2">
        <v>1</v>
      </c>
      <c r="BE28" s="2">
        <v>0</v>
      </c>
      <c r="BF28" s="2">
        <v>1</v>
      </c>
      <c r="BG28" s="2">
        <v>0</v>
      </c>
      <c r="BH28" s="2">
        <v>0</v>
      </c>
      <c r="BI28" s="2">
        <v>0</v>
      </c>
      <c r="BJ28" s="2">
        <v>0</v>
      </c>
      <c r="BK28" s="2">
        <v>1</v>
      </c>
      <c r="BL28" s="2">
        <v>1</v>
      </c>
      <c r="BM28" s="2">
        <v>0</v>
      </c>
      <c r="BN28" s="2">
        <v>1</v>
      </c>
      <c r="BO28" s="2">
        <v>1</v>
      </c>
      <c r="BP28" s="2">
        <v>0</v>
      </c>
      <c r="BQ28" s="2">
        <v>1</v>
      </c>
      <c r="BR28" s="2">
        <v>1</v>
      </c>
    </row>
    <row r="29" spans="2:70" x14ac:dyDescent="0.25">
      <c r="B29" t="s">
        <v>75</v>
      </c>
      <c r="C29" t="s">
        <v>75</v>
      </c>
      <c r="D29" t="s">
        <v>75</v>
      </c>
      <c r="E29" t="s">
        <v>75</v>
      </c>
      <c r="F29" s="2">
        <v>0</v>
      </c>
      <c r="G29" s="2">
        <v>0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0</v>
      </c>
      <c r="O29" s="2">
        <v>1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1</v>
      </c>
      <c r="AB29" s="2">
        <v>1</v>
      </c>
      <c r="AC29" s="2">
        <v>1</v>
      </c>
      <c r="AD29" s="2">
        <v>1</v>
      </c>
      <c r="AE29" s="2">
        <v>0</v>
      </c>
      <c r="AF29" s="2">
        <v>1</v>
      </c>
      <c r="AG29" s="2">
        <f t="shared" si="4"/>
        <v>14</v>
      </c>
      <c r="AH29" s="6">
        <f t="shared" si="5"/>
        <v>51.851851851851848</v>
      </c>
      <c r="AL29" s="5">
        <v>48.1</v>
      </c>
      <c r="AM29" s="3">
        <f t="shared" si="2"/>
        <v>12.499952695343543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1</v>
      </c>
      <c r="AX29" s="1">
        <v>1</v>
      </c>
      <c r="AY29" s="1">
        <v>0</v>
      </c>
      <c r="AZ29" s="1">
        <v>1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1</v>
      </c>
      <c r="BH29" s="1">
        <v>1</v>
      </c>
      <c r="BI29" s="1">
        <v>1</v>
      </c>
      <c r="BJ29" s="1">
        <v>0</v>
      </c>
      <c r="BK29" s="1">
        <v>1</v>
      </c>
      <c r="BL29" s="1">
        <v>0</v>
      </c>
      <c r="BM29" s="1">
        <v>1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</row>
    <row r="30" spans="2:70" x14ac:dyDescent="0.25">
      <c r="B30" t="s">
        <v>75</v>
      </c>
      <c r="C30" t="s">
        <v>75</v>
      </c>
      <c r="D30" t="s">
        <v>75</v>
      </c>
      <c r="E30" t="s">
        <v>75</v>
      </c>
      <c r="F30" s="1">
        <v>0</v>
      </c>
      <c r="G30" s="1">
        <v>1</v>
      </c>
      <c r="H30" s="1">
        <v>1</v>
      </c>
      <c r="I30" s="1">
        <v>1</v>
      </c>
      <c r="J30" s="1">
        <v>0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0</v>
      </c>
      <c r="R30" s="1">
        <v>1</v>
      </c>
      <c r="S30" s="1">
        <v>0</v>
      </c>
      <c r="T30" s="1">
        <v>0</v>
      </c>
      <c r="U30" s="1">
        <v>1</v>
      </c>
      <c r="V30" s="1">
        <v>0</v>
      </c>
      <c r="W30" s="1">
        <v>0</v>
      </c>
      <c r="X30" s="1">
        <v>0</v>
      </c>
      <c r="Y30" s="1">
        <v>1</v>
      </c>
      <c r="Z30" s="1">
        <v>1</v>
      </c>
      <c r="AA30" s="1">
        <v>1</v>
      </c>
      <c r="AB30" s="1">
        <v>0</v>
      </c>
      <c r="AC30" s="1">
        <v>1</v>
      </c>
      <c r="AD30" s="1">
        <v>1</v>
      </c>
      <c r="AE30" s="1">
        <v>0</v>
      </c>
      <c r="AF30" s="1">
        <v>1</v>
      </c>
      <c r="AG30" s="1">
        <f t="shared" si="4"/>
        <v>17</v>
      </c>
      <c r="AH30" s="7">
        <f t="shared" si="5"/>
        <v>62.962962962962962</v>
      </c>
      <c r="AL30" s="5">
        <v>51.9</v>
      </c>
      <c r="AM30" s="3">
        <f t="shared" si="2"/>
        <v>12.03956358510947</v>
      </c>
      <c r="AR30" s="2">
        <v>0</v>
      </c>
      <c r="AS30" s="2">
        <v>0</v>
      </c>
      <c r="AT30" s="2">
        <v>0</v>
      </c>
      <c r="AU30" s="2">
        <v>0</v>
      </c>
      <c r="AV30" s="2">
        <v>1</v>
      </c>
      <c r="AW30" s="2">
        <v>1</v>
      </c>
      <c r="AX30" s="2">
        <v>0</v>
      </c>
      <c r="AY30" s="2">
        <v>0</v>
      </c>
      <c r="AZ30" s="2">
        <v>0</v>
      </c>
      <c r="BA30" s="2">
        <v>1</v>
      </c>
      <c r="BB30" s="2">
        <v>1</v>
      </c>
      <c r="BC30" s="2">
        <v>1</v>
      </c>
      <c r="BD30" s="2">
        <v>0</v>
      </c>
      <c r="BE30" s="2">
        <v>0</v>
      </c>
      <c r="BF30" s="2">
        <v>1</v>
      </c>
      <c r="BG30" s="2">
        <v>0</v>
      </c>
      <c r="BH30" s="2">
        <v>0</v>
      </c>
      <c r="BI30" s="2">
        <v>1</v>
      </c>
      <c r="BJ30" s="2">
        <v>1</v>
      </c>
      <c r="BK30" s="2">
        <v>1</v>
      </c>
      <c r="BL30" s="2">
        <v>0</v>
      </c>
      <c r="BM30" s="2">
        <v>1</v>
      </c>
      <c r="BN30" s="2">
        <v>0</v>
      </c>
      <c r="BO30" s="2">
        <v>0</v>
      </c>
      <c r="BP30" s="2">
        <v>0</v>
      </c>
      <c r="BQ30" s="2">
        <v>0</v>
      </c>
      <c r="BR30" s="2">
        <v>1</v>
      </c>
    </row>
    <row r="31" spans="2:70" x14ac:dyDescent="0.25">
      <c r="B31" t="s">
        <v>75</v>
      </c>
      <c r="C31" t="s">
        <v>75</v>
      </c>
      <c r="D31" t="s">
        <v>75</v>
      </c>
      <c r="E31" t="s">
        <v>75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1</v>
      </c>
      <c r="O31" s="2">
        <v>0</v>
      </c>
      <c r="P31" s="2">
        <v>1</v>
      </c>
      <c r="Q31" s="2">
        <v>1</v>
      </c>
      <c r="R31" s="2">
        <v>0</v>
      </c>
      <c r="S31" s="2">
        <v>0</v>
      </c>
      <c r="T31" s="2">
        <v>0</v>
      </c>
      <c r="U31" s="2">
        <v>1</v>
      </c>
      <c r="V31" s="2">
        <v>1</v>
      </c>
      <c r="W31" s="2">
        <v>0</v>
      </c>
      <c r="X31" s="2">
        <v>1</v>
      </c>
      <c r="Y31" s="2">
        <v>1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f t="shared" si="4"/>
        <v>8</v>
      </c>
      <c r="AH31" s="6">
        <f t="shared" si="5"/>
        <v>29.629629629629626</v>
      </c>
      <c r="AL31" s="5">
        <v>51.9</v>
      </c>
      <c r="AM31" s="3">
        <f t="shared" si="2"/>
        <v>12.03956358510947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0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0</v>
      </c>
      <c r="BQ31" s="1">
        <v>1</v>
      </c>
      <c r="BR31" s="1">
        <v>1</v>
      </c>
    </row>
    <row r="32" spans="2:70" hidden="1" x14ac:dyDescent="0.25">
      <c r="B32" t="s">
        <v>75</v>
      </c>
      <c r="C32" t="s">
        <v>75</v>
      </c>
      <c r="D32" t="s">
        <v>75</v>
      </c>
      <c r="E32" t="s">
        <v>75</v>
      </c>
      <c r="F32" s="1">
        <v>1</v>
      </c>
      <c r="G32" s="1">
        <v>0</v>
      </c>
      <c r="H32" s="1">
        <v>0</v>
      </c>
      <c r="I32" s="1">
        <v>0</v>
      </c>
      <c r="J32" s="1">
        <v>1</v>
      </c>
      <c r="K32" s="1">
        <v>1</v>
      </c>
      <c r="L32" s="1">
        <v>1</v>
      </c>
      <c r="M32" s="1">
        <v>0</v>
      </c>
      <c r="N32" s="1">
        <v>1</v>
      </c>
      <c r="O32" s="1">
        <v>0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</v>
      </c>
      <c r="W32" s="1">
        <v>1</v>
      </c>
      <c r="X32" s="1">
        <v>1</v>
      </c>
      <c r="Y32" s="1">
        <v>0</v>
      </c>
      <c r="Z32" s="1">
        <v>1</v>
      </c>
      <c r="AA32" s="1">
        <v>0</v>
      </c>
      <c r="AB32" s="1">
        <v>1</v>
      </c>
      <c r="AC32" s="1">
        <v>1</v>
      </c>
      <c r="AD32" s="1">
        <v>0</v>
      </c>
      <c r="AE32" s="1">
        <v>1</v>
      </c>
      <c r="AF32" s="1">
        <v>1</v>
      </c>
      <c r="AG32" s="1">
        <f t="shared" si="4"/>
        <v>15</v>
      </c>
      <c r="AH32" s="7">
        <f t="shared" si="5"/>
        <v>55.555555555555557</v>
      </c>
      <c r="AL32" s="5">
        <v>51.9</v>
      </c>
      <c r="AM32" s="3">
        <f t="shared" si="2"/>
        <v>12.03956358510947</v>
      </c>
      <c r="AR32" s="2">
        <v>0</v>
      </c>
      <c r="AS32" s="2">
        <v>1</v>
      </c>
      <c r="AT32" s="2">
        <v>1</v>
      </c>
      <c r="AU32" s="2">
        <v>1</v>
      </c>
      <c r="AV32" s="2">
        <v>0</v>
      </c>
      <c r="AW32" s="2">
        <v>0</v>
      </c>
      <c r="AX32" s="2">
        <v>1</v>
      </c>
      <c r="AY32" s="2">
        <v>0</v>
      </c>
      <c r="AZ32" s="2">
        <v>0</v>
      </c>
      <c r="BA32" s="2">
        <v>0</v>
      </c>
      <c r="BB32" s="2">
        <v>0</v>
      </c>
      <c r="BC32" s="2">
        <v>1</v>
      </c>
      <c r="BD32" s="2">
        <v>1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1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</row>
    <row r="33" spans="2:70" x14ac:dyDescent="0.25">
      <c r="B33" t="s">
        <v>75</v>
      </c>
      <c r="C33" t="s">
        <v>75</v>
      </c>
      <c r="D33" t="s">
        <v>75</v>
      </c>
      <c r="E33" t="s">
        <v>75</v>
      </c>
      <c r="F33" s="2">
        <v>0</v>
      </c>
      <c r="G33" s="2">
        <v>1</v>
      </c>
      <c r="H33" s="2">
        <v>1</v>
      </c>
      <c r="I33" s="2">
        <v>1</v>
      </c>
      <c r="J33" s="2">
        <v>0</v>
      </c>
      <c r="K33" s="2">
        <v>1</v>
      </c>
      <c r="L33" s="2">
        <v>1</v>
      </c>
      <c r="M33" s="2">
        <v>1</v>
      </c>
      <c r="N33" s="2">
        <v>0</v>
      </c>
      <c r="O33" s="2">
        <v>1</v>
      </c>
      <c r="P33" s="2">
        <v>0</v>
      </c>
      <c r="Q33" s="2">
        <v>1</v>
      </c>
      <c r="R33" s="2">
        <v>1</v>
      </c>
      <c r="S33" s="2">
        <v>1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1</v>
      </c>
      <c r="Z33" s="2">
        <v>0</v>
      </c>
      <c r="AA33" s="2">
        <v>0</v>
      </c>
      <c r="AB33" s="2">
        <v>0</v>
      </c>
      <c r="AC33" s="2">
        <v>1</v>
      </c>
      <c r="AD33" s="2">
        <v>0</v>
      </c>
      <c r="AE33" s="2">
        <v>0</v>
      </c>
      <c r="AF33" s="2">
        <v>1</v>
      </c>
      <c r="AG33" s="2">
        <f t="shared" si="4"/>
        <v>14</v>
      </c>
      <c r="AH33" s="6">
        <f t="shared" si="5"/>
        <v>51.851851851851848</v>
      </c>
      <c r="AL33" s="5">
        <v>51.9</v>
      </c>
      <c r="AM33" s="3">
        <f t="shared" si="2"/>
        <v>12.03956358510947</v>
      </c>
      <c r="AR33" s="1">
        <v>0</v>
      </c>
      <c r="AS33" s="1">
        <v>0</v>
      </c>
      <c r="AT33" s="1">
        <v>0</v>
      </c>
      <c r="AU33" s="1">
        <v>1</v>
      </c>
      <c r="AV33" s="1">
        <v>1</v>
      </c>
      <c r="AW33" s="1">
        <v>1</v>
      </c>
      <c r="AX33" s="1">
        <v>0</v>
      </c>
      <c r="AY33" s="1">
        <v>1</v>
      </c>
      <c r="AZ33" s="1">
        <v>1</v>
      </c>
      <c r="BA33" s="1">
        <v>0</v>
      </c>
      <c r="BB33" s="1">
        <v>1</v>
      </c>
      <c r="BC33" s="1">
        <v>1</v>
      </c>
      <c r="BD33" s="1">
        <v>1</v>
      </c>
      <c r="BE33" s="1">
        <v>0</v>
      </c>
      <c r="BF33" s="1">
        <v>1</v>
      </c>
      <c r="BG33" s="1">
        <v>0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0</v>
      </c>
      <c r="BO33" s="1">
        <v>0</v>
      </c>
      <c r="BP33" s="1">
        <v>0</v>
      </c>
      <c r="BQ33" s="1">
        <v>0</v>
      </c>
      <c r="BR33" s="1">
        <v>1</v>
      </c>
    </row>
    <row r="34" spans="2:70" x14ac:dyDescent="0.25">
      <c r="B34" t="s">
        <v>75</v>
      </c>
      <c r="C34" t="s">
        <v>75</v>
      </c>
      <c r="D34" t="s">
        <v>75</v>
      </c>
      <c r="E34" t="s">
        <v>75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1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1</v>
      </c>
      <c r="V34" s="1">
        <v>0</v>
      </c>
      <c r="W34" s="1">
        <v>1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1</v>
      </c>
      <c r="AF34" s="1">
        <v>1</v>
      </c>
      <c r="AG34" s="1">
        <f t="shared" si="4"/>
        <v>9</v>
      </c>
      <c r="AH34" s="7">
        <f>SUM(F34:AF34)/COUNT(F34:AF34)*100</f>
        <v>33.333333333333329</v>
      </c>
      <c r="AL34" s="5">
        <v>51.9</v>
      </c>
      <c r="AM34" s="3">
        <f t="shared" si="2"/>
        <v>12.03956358510947</v>
      </c>
      <c r="AR34" s="2">
        <v>0</v>
      </c>
      <c r="AS34" s="2">
        <v>1</v>
      </c>
      <c r="AT34" s="2">
        <v>0</v>
      </c>
      <c r="AU34" s="2">
        <v>1</v>
      </c>
      <c r="AV34" s="2">
        <v>0</v>
      </c>
      <c r="AW34" s="2">
        <v>0</v>
      </c>
      <c r="AX34" s="2">
        <v>1</v>
      </c>
      <c r="AY34" s="2">
        <v>1</v>
      </c>
      <c r="AZ34" s="2">
        <v>0</v>
      </c>
      <c r="BA34" s="2">
        <v>1</v>
      </c>
      <c r="BB34" s="2">
        <v>1</v>
      </c>
      <c r="BC34" s="2">
        <v>0</v>
      </c>
      <c r="BD34" s="2">
        <v>0</v>
      </c>
      <c r="BE34" s="2">
        <v>1</v>
      </c>
      <c r="BF34" s="2">
        <v>0</v>
      </c>
      <c r="BG34" s="2">
        <v>0</v>
      </c>
      <c r="BH34" s="2">
        <v>1</v>
      </c>
      <c r="BI34" s="2">
        <v>0</v>
      </c>
      <c r="BJ34" s="2">
        <v>1</v>
      </c>
      <c r="BK34" s="2">
        <v>0</v>
      </c>
      <c r="BL34" s="2">
        <v>0</v>
      </c>
      <c r="BM34" s="2">
        <v>1</v>
      </c>
      <c r="BN34" s="2">
        <v>0</v>
      </c>
      <c r="BO34" s="2">
        <v>1</v>
      </c>
      <c r="BP34" s="2">
        <v>0</v>
      </c>
      <c r="BQ34" s="2">
        <v>0</v>
      </c>
      <c r="BR34" s="2">
        <v>1</v>
      </c>
    </row>
    <row r="35" spans="2:70" x14ac:dyDescent="0.25">
      <c r="B35" t="s">
        <v>75</v>
      </c>
      <c r="C35" t="s">
        <v>75</v>
      </c>
      <c r="D35" t="s">
        <v>75</v>
      </c>
      <c r="E35" t="s">
        <v>75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1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0</v>
      </c>
      <c r="Y35" s="2">
        <v>0</v>
      </c>
      <c r="Z35" s="2">
        <v>1</v>
      </c>
      <c r="AA35" s="2">
        <v>1</v>
      </c>
      <c r="AB35" s="2">
        <v>1</v>
      </c>
      <c r="AC35" s="2">
        <v>1</v>
      </c>
      <c r="AD35" s="2">
        <v>0</v>
      </c>
      <c r="AE35" s="2">
        <v>1</v>
      </c>
      <c r="AF35" s="2">
        <v>1</v>
      </c>
      <c r="AG35" s="2">
        <f t="shared" si="4"/>
        <v>11</v>
      </c>
      <c r="AH35" s="6">
        <f t="shared" si="5"/>
        <v>40.74074074074074</v>
      </c>
      <c r="AL35" s="5">
        <v>55.6</v>
      </c>
      <c r="AM35" s="3">
        <f t="shared" si="2"/>
        <v>11.062496482719986</v>
      </c>
      <c r="AR35" s="1">
        <v>0</v>
      </c>
      <c r="AS35" s="1">
        <v>0</v>
      </c>
      <c r="AT35" s="1">
        <v>1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1</v>
      </c>
      <c r="BA35" s="1">
        <v>0</v>
      </c>
      <c r="BB35" s="1">
        <v>1</v>
      </c>
      <c r="BC35" s="1">
        <v>0</v>
      </c>
      <c r="BD35" s="1">
        <v>0</v>
      </c>
      <c r="BE35" s="1">
        <v>1</v>
      </c>
      <c r="BF35" s="1">
        <v>1</v>
      </c>
      <c r="BG35" s="1">
        <v>0</v>
      </c>
      <c r="BH35" s="1">
        <v>0</v>
      </c>
      <c r="BI35" s="1">
        <v>0</v>
      </c>
      <c r="BJ35" s="1">
        <v>1</v>
      </c>
      <c r="BK35" s="1">
        <v>0</v>
      </c>
      <c r="BL35" s="1">
        <v>0</v>
      </c>
      <c r="BM35" s="1">
        <v>1</v>
      </c>
      <c r="BN35" s="1">
        <v>0</v>
      </c>
      <c r="BO35" s="1">
        <v>1</v>
      </c>
      <c r="BP35" s="1">
        <v>0</v>
      </c>
      <c r="BQ35" s="1">
        <v>1</v>
      </c>
      <c r="BR35" s="1">
        <v>1</v>
      </c>
    </row>
    <row r="36" spans="2:70" x14ac:dyDescent="0.25">
      <c r="B36" t="s">
        <v>75</v>
      </c>
      <c r="C36" t="s">
        <v>75</v>
      </c>
      <c r="D36" t="s">
        <v>75</v>
      </c>
      <c r="E36" t="s">
        <v>75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0</v>
      </c>
      <c r="AC36" s="1">
        <v>1</v>
      </c>
      <c r="AD36" s="1">
        <v>0</v>
      </c>
      <c r="AE36" s="1">
        <v>1</v>
      </c>
      <c r="AF36" s="1">
        <v>1</v>
      </c>
      <c r="AG36" s="1">
        <f t="shared" si="4"/>
        <v>25</v>
      </c>
      <c r="AH36" s="7">
        <f t="shared" si="5"/>
        <v>92.592592592592595</v>
      </c>
      <c r="AL36" s="5">
        <v>55.6</v>
      </c>
      <c r="AM36" s="3">
        <f t="shared" si="2"/>
        <v>11.062496482719986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1</v>
      </c>
      <c r="AY36" s="2">
        <v>0</v>
      </c>
      <c r="AZ36" s="2">
        <v>0</v>
      </c>
      <c r="BA36" s="2">
        <v>0</v>
      </c>
      <c r="BB36" s="2">
        <v>1</v>
      </c>
      <c r="BC36" s="2">
        <v>0</v>
      </c>
      <c r="BD36" s="2">
        <v>1</v>
      </c>
      <c r="BE36" s="2">
        <v>1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>
        <v>1</v>
      </c>
      <c r="BL36" s="2">
        <v>0</v>
      </c>
      <c r="BM36" s="2">
        <v>0</v>
      </c>
      <c r="BN36" s="2">
        <v>0</v>
      </c>
      <c r="BO36" s="2">
        <v>1</v>
      </c>
      <c r="BP36" s="2">
        <v>0</v>
      </c>
      <c r="BQ36" s="2">
        <v>0</v>
      </c>
      <c r="BR36" s="2">
        <v>0</v>
      </c>
    </row>
    <row r="37" spans="2:70" x14ac:dyDescent="0.25">
      <c r="B37" t="s">
        <v>75</v>
      </c>
      <c r="C37" t="s">
        <v>75</v>
      </c>
      <c r="D37" t="s">
        <v>75</v>
      </c>
      <c r="E37" t="s">
        <v>75</v>
      </c>
      <c r="F37" s="2">
        <v>0</v>
      </c>
      <c r="G37" s="2">
        <v>0</v>
      </c>
      <c r="H37" s="2">
        <v>1</v>
      </c>
      <c r="I37" s="2">
        <v>1</v>
      </c>
      <c r="J37" s="2">
        <v>0</v>
      </c>
      <c r="K37" s="2">
        <v>1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1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1</v>
      </c>
      <c r="AF37" s="2">
        <v>0</v>
      </c>
      <c r="AG37" s="2">
        <f t="shared" si="4"/>
        <v>7</v>
      </c>
      <c r="AH37" s="6">
        <f t="shared" si="5"/>
        <v>25.925925925925924</v>
      </c>
      <c r="AL37" s="5">
        <v>59.3</v>
      </c>
      <c r="AM37" s="3">
        <f t="shared" si="2"/>
        <v>9.6936024672754222</v>
      </c>
      <c r="AR37" s="1">
        <v>0</v>
      </c>
      <c r="AS37" s="1">
        <v>0</v>
      </c>
      <c r="AT37" s="1">
        <v>1</v>
      </c>
      <c r="AU37" s="1">
        <v>0</v>
      </c>
      <c r="AV37" s="1">
        <v>0</v>
      </c>
      <c r="AW37" s="1">
        <v>1</v>
      </c>
      <c r="AX37" s="1">
        <v>0</v>
      </c>
      <c r="AY37" s="1">
        <v>1</v>
      </c>
      <c r="AZ37" s="1">
        <v>0</v>
      </c>
      <c r="BA37" s="1">
        <v>0</v>
      </c>
      <c r="BB37" s="1">
        <v>1</v>
      </c>
      <c r="BC37" s="1">
        <v>1</v>
      </c>
      <c r="BD37" s="1">
        <v>1</v>
      </c>
      <c r="BE37" s="1">
        <v>0</v>
      </c>
      <c r="BF37" s="1">
        <v>0</v>
      </c>
      <c r="BG37" s="1">
        <v>0</v>
      </c>
      <c r="BH37" s="1">
        <v>0</v>
      </c>
      <c r="BI37" s="1">
        <v>1</v>
      </c>
      <c r="BJ37" s="1">
        <v>1</v>
      </c>
      <c r="BK37" s="1">
        <v>1</v>
      </c>
      <c r="BL37" s="1">
        <v>0</v>
      </c>
      <c r="BM37" s="1">
        <v>1</v>
      </c>
      <c r="BN37" s="1">
        <v>0</v>
      </c>
      <c r="BO37" s="1">
        <v>0</v>
      </c>
      <c r="BP37" s="1">
        <v>0</v>
      </c>
      <c r="BQ37" s="1">
        <v>0</v>
      </c>
      <c r="BR37" s="1">
        <v>1</v>
      </c>
    </row>
    <row r="38" spans="2:70" x14ac:dyDescent="0.25">
      <c r="B38" t="s">
        <v>75</v>
      </c>
      <c r="C38" t="s">
        <v>75</v>
      </c>
      <c r="D38" t="s">
        <v>75</v>
      </c>
      <c r="E38" t="s">
        <v>75</v>
      </c>
      <c r="F38" s="1">
        <v>1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1</v>
      </c>
      <c r="V38" s="1">
        <v>1</v>
      </c>
      <c r="W38" s="1">
        <v>1</v>
      </c>
      <c r="X38" s="1">
        <v>0</v>
      </c>
      <c r="Y38" s="1">
        <v>0</v>
      </c>
      <c r="Z38" s="1">
        <v>1</v>
      </c>
      <c r="AA38" s="1">
        <v>1</v>
      </c>
      <c r="AB38" s="1">
        <v>1</v>
      </c>
      <c r="AC38" s="1">
        <v>1</v>
      </c>
      <c r="AD38" s="1">
        <v>0</v>
      </c>
      <c r="AE38" s="1">
        <v>1</v>
      </c>
      <c r="AF38" s="1">
        <v>1</v>
      </c>
      <c r="AG38" s="1">
        <f t="shared" si="4"/>
        <v>17</v>
      </c>
      <c r="AH38" s="7">
        <f t="shared" si="5"/>
        <v>62.962962962962962</v>
      </c>
      <c r="AL38" s="5">
        <v>59.3</v>
      </c>
      <c r="AM38" s="3">
        <f t="shared" si="2"/>
        <v>9.6936024672754222</v>
      </c>
      <c r="AR38" s="2">
        <v>1</v>
      </c>
      <c r="AS38" s="2">
        <v>0</v>
      </c>
      <c r="AT38" s="2">
        <v>1</v>
      </c>
      <c r="AU38" s="2">
        <v>0</v>
      </c>
      <c r="AV38" s="2">
        <v>0</v>
      </c>
      <c r="AW38" s="2">
        <v>1</v>
      </c>
      <c r="AX38" s="2">
        <v>1</v>
      </c>
      <c r="AY38" s="2">
        <v>0</v>
      </c>
      <c r="AZ38" s="2">
        <v>1</v>
      </c>
      <c r="BA38" s="2">
        <v>0</v>
      </c>
      <c r="BB38" s="2">
        <v>1</v>
      </c>
      <c r="BC38" s="2">
        <v>1</v>
      </c>
      <c r="BD38" s="2">
        <v>0</v>
      </c>
      <c r="BE38" s="2">
        <v>0</v>
      </c>
      <c r="BF38" s="2">
        <v>1</v>
      </c>
      <c r="BG38" s="2">
        <v>1</v>
      </c>
      <c r="BH38" s="2">
        <v>1</v>
      </c>
      <c r="BI38" s="2">
        <v>1</v>
      </c>
      <c r="BJ38" s="2">
        <v>1</v>
      </c>
      <c r="BK38" s="2">
        <v>1</v>
      </c>
      <c r="BL38" s="2">
        <v>1</v>
      </c>
      <c r="BM38" s="2">
        <v>1</v>
      </c>
      <c r="BN38" s="2">
        <v>0</v>
      </c>
      <c r="BO38" s="2">
        <v>0</v>
      </c>
      <c r="BP38" s="2">
        <v>0</v>
      </c>
      <c r="BQ38" s="2">
        <v>1</v>
      </c>
      <c r="BR38" s="2">
        <v>1</v>
      </c>
    </row>
    <row r="39" spans="2:70" x14ac:dyDescent="0.25">
      <c r="B39" t="s">
        <v>75</v>
      </c>
      <c r="C39" t="s">
        <v>75</v>
      </c>
      <c r="D39" t="s">
        <v>75</v>
      </c>
      <c r="E39" t="s">
        <v>75</v>
      </c>
      <c r="F39" s="2">
        <v>0</v>
      </c>
      <c r="G39" s="2">
        <v>1</v>
      </c>
      <c r="H39" s="2">
        <v>1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1</v>
      </c>
      <c r="Y39" s="2">
        <v>1</v>
      </c>
      <c r="Z39" s="2">
        <v>0</v>
      </c>
      <c r="AA39" s="2">
        <v>1</v>
      </c>
      <c r="AB39" s="2">
        <v>0</v>
      </c>
      <c r="AC39" s="2">
        <v>0</v>
      </c>
      <c r="AD39" s="2">
        <v>0</v>
      </c>
      <c r="AE39" s="2">
        <v>1</v>
      </c>
      <c r="AF39" s="2">
        <v>0</v>
      </c>
      <c r="AG39" s="2">
        <f t="shared" si="4"/>
        <v>11</v>
      </c>
      <c r="AH39" s="6">
        <f t="shared" si="5"/>
        <v>40.74074074074074</v>
      </c>
      <c r="AL39" s="5">
        <v>59.3</v>
      </c>
      <c r="AM39" s="3">
        <f t="shared" si="2"/>
        <v>9.6936024672754222</v>
      </c>
      <c r="AR39" s="1">
        <v>1</v>
      </c>
      <c r="AS39" s="1">
        <v>0</v>
      </c>
      <c r="AT39" s="1">
        <v>1</v>
      </c>
      <c r="AU39" s="1">
        <v>1</v>
      </c>
      <c r="AV39" s="1">
        <v>0</v>
      </c>
      <c r="AW39" s="1">
        <v>1</v>
      </c>
      <c r="AX39" s="1">
        <v>1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</v>
      </c>
      <c r="BE39" s="1">
        <v>1</v>
      </c>
      <c r="BF39" s="1">
        <v>1</v>
      </c>
      <c r="BG39" s="1">
        <v>0</v>
      </c>
      <c r="BH39" s="1">
        <v>0</v>
      </c>
      <c r="BI39" s="1">
        <v>1</v>
      </c>
      <c r="BJ39" s="1">
        <v>0</v>
      </c>
      <c r="BK39" s="1">
        <v>1</v>
      </c>
      <c r="BL39" s="1">
        <v>0</v>
      </c>
      <c r="BM39" s="1">
        <v>0</v>
      </c>
      <c r="BN39" s="1">
        <v>1</v>
      </c>
      <c r="BO39" s="1">
        <v>1</v>
      </c>
      <c r="BP39" s="1">
        <v>0</v>
      </c>
      <c r="BQ39" s="1">
        <v>0</v>
      </c>
      <c r="BR39" s="1">
        <v>1</v>
      </c>
    </row>
    <row r="40" spans="2:70" x14ac:dyDescent="0.25">
      <c r="B40" t="s">
        <v>75</v>
      </c>
      <c r="C40" t="s">
        <v>75</v>
      </c>
      <c r="D40" t="s">
        <v>75</v>
      </c>
      <c r="E40" t="s">
        <v>75</v>
      </c>
      <c r="F40" s="1">
        <v>1</v>
      </c>
      <c r="G40" s="1">
        <v>0</v>
      </c>
      <c r="H40" s="1">
        <v>0</v>
      </c>
      <c r="I40" s="1">
        <v>1</v>
      </c>
      <c r="J40" s="1">
        <v>0</v>
      </c>
      <c r="K40" s="1">
        <v>0</v>
      </c>
      <c r="L40" s="1">
        <v>1</v>
      </c>
      <c r="M40" s="1">
        <v>0</v>
      </c>
      <c r="N40" s="1">
        <v>1</v>
      </c>
      <c r="O40" s="1">
        <v>1</v>
      </c>
      <c r="P40" s="1">
        <v>0</v>
      </c>
      <c r="Q40" s="1">
        <v>1</v>
      </c>
      <c r="R40" s="1">
        <v>0</v>
      </c>
      <c r="S40" s="1">
        <v>0</v>
      </c>
      <c r="T40" s="1">
        <v>1</v>
      </c>
      <c r="U40" s="1">
        <v>0</v>
      </c>
      <c r="V40" s="1">
        <v>0</v>
      </c>
      <c r="W40" s="1">
        <v>0</v>
      </c>
      <c r="X40" s="1">
        <v>0</v>
      </c>
      <c r="Y40" s="1">
        <v>1</v>
      </c>
      <c r="Z40" s="1">
        <v>0</v>
      </c>
      <c r="AA40" s="1">
        <v>1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f t="shared" si="4"/>
        <v>10</v>
      </c>
      <c r="AH40" s="7">
        <f t="shared" si="5"/>
        <v>37.037037037037038</v>
      </c>
      <c r="AL40" s="5">
        <v>63</v>
      </c>
      <c r="AM40" s="3">
        <f t="shared" si="2"/>
        <v>8.1004085636292125</v>
      </c>
      <c r="AR40" s="2">
        <v>1</v>
      </c>
      <c r="AS40" s="2">
        <v>0</v>
      </c>
      <c r="AT40" s="2">
        <v>0</v>
      </c>
      <c r="AU40" s="2">
        <v>0</v>
      </c>
      <c r="AV40" s="2">
        <v>0</v>
      </c>
      <c r="AW40" s="2">
        <v>1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1</v>
      </c>
      <c r="BE40" s="2">
        <v>0</v>
      </c>
      <c r="BF40" s="2">
        <v>0</v>
      </c>
      <c r="BG40" s="2">
        <v>0</v>
      </c>
      <c r="BH40" s="2">
        <v>0</v>
      </c>
      <c r="BI40" s="2">
        <v>1</v>
      </c>
      <c r="BJ40" s="2">
        <v>1</v>
      </c>
      <c r="BK40" s="2">
        <v>0</v>
      </c>
      <c r="BL40" s="2">
        <v>0</v>
      </c>
      <c r="BM40" s="2">
        <v>0</v>
      </c>
      <c r="BN40" s="2">
        <v>1</v>
      </c>
      <c r="BO40" s="2">
        <v>1</v>
      </c>
      <c r="BP40" s="2">
        <v>0</v>
      </c>
      <c r="BQ40" s="2">
        <v>1</v>
      </c>
      <c r="BR40" s="2">
        <v>0</v>
      </c>
    </row>
    <row r="41" spans="2:70" x14ac:dyDescent="0.25">
      <c r="B41" t="s">
        <v>75</v>
      </c>
      <c r="C41" t="s">
        <v>75</v>
      </c>
      <c r="D41" t="s">
        <v>75</v>
      </c>
      <c r="E41" t="s">
        <v>75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0</v>
      </c>
      <c r="M41" s="2">
        <v>0</v>
      </c>
      <c r="N41" s="2">
        <v>1</v>
      </c>
      <c r="O41" s="2">
        <v>0</v>
      </c>
      <c r="P41" s="2">
        <v>0</v>
      </c>
      <c r="Q41" s="2">
        <v>0</v>
      </c>
      <c r="R41" s="2">
        <v>1</v>
      </c>
      <c r="S41" s="2">
        <v>0</v>
      </c>
      <c r="T41" s="2">
        <v>1</v>
      </c>
      <c r="U41" s="2">
        <v>0</v>
      </c>
      <c r="V41" s="2">
        <v>0</v>
      </c>
      <c r="W41" s="2">
        <v>1</v>
      </c>
      <c r="X41" s="2">
        <v>0</v>
      </c>
      <c r="Y41" s="2">
        <v>1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1</v>
      </c>
      <c r="AG41" s="2">
        <f t="shared" si="4"/>
        <v>7</v>
      </c>
      <c r="AH41" s="6">
        <f t="shared" si="5"/>
        <v>25.925925925925924</v>
      </c>
      <c r="AL41" s="5">
        <v>63</v>
      </c>
      <c r="AM41" s="3">
        <f t="shared" si="2"/>
        <v>8.1004085636292125</v>
      </c>
      <c r="AR41" s="1">
        <v>1</v>
      </c>
      <c r="AS41" s="1">
        <v>0</v>
      </c>
      <c r="AT41" s="1">
        <v>1</v>
      </c>
      <c r="AU41" s="1">
        <v>1</v>
      </c>
      <c r="AV41" s="1">
        <v>0</v>
      </c>
      <c r="AW41" s="1">
        <v>1</v>
      </c>
      <c r="AX41" s="1">
        <v>1</v>
      </c>
      <c r="AY41" s="1">
        <v>0</v>
      </c>
      <c r="AZ41" s="1">
        <v>0</v>
      </c>
      <c r="BA41" s="1">
        <v>0</v>
      </c>
      <c r="BB41" s="1">
        <v>0</v>
      </c>
      <c r="BC41" s="1">
        <v>1</v>
      </c>
      <c r="BD41" s="1">
        <v>1</v>
      </c>
      <c r="BE41" s="1">
        <v>0</v>
      </c>
      <c r="BF41" s="1">
        <v>1</v>
      </c>
      <c r="BG41" s="1">
        <v>1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1</v>
      </c>
      <c r="BN41" s="1">
        <v>0</v>
      </c>
      <c r="BO41" s="1">
        <v>0</v>
      </c>
      <c r="BP41" s="1">
        <v>1</v>
      </c>
      <c r="BQ41" s="1">
        <v>0</v>
      </c>
      <c r="BR41" s="1">
        <v>1</v>
      </c>
    </row>
    <row r="42" spans="2:70" x14ac:dyDescent="0.25">
      <c r="B42" t="s">
        <v>75</v>
      </c>
      <c r="C42" t="s">
        <v>75</v>
      </c>
      <c r="D42" t="s">
        <v>75</v>
      </c>
      <c r="E42" t="s">
        <v>75</v>
      </c>
      <c r="F42" s="1">
        <v>0</v>
      </c>
      <c r="G42" s="1">
        <v>1</v>
      </c>
      <c r="H42" s="1">
        <v>0</v>
      </c>
      <c r="I42" s="1">
        <v>1</v>
      </c>
      <c r="J42" s="1">
        <v>0</v>
      </c>
      <c r="K42" s="1">
        <v>0</v>
      </c>
      <c r="L42" s="1">
        <v>1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1</v>
      </c>
      <c r="AA42" s="1">
        <v>1</v>
      </c>
      <c r="AB42" s="1">
        <v>0</v>
      </c>
      <c r="AC42" s="1">
        <v>1</v>
      </c>
      <c r="AD42" s="1">
        <v>0</v>
      </c>
      <c r="AE42" s="1">
        <v>1</v>
      </c>
      <c r="AF42" s="1">
        <v>1</v>
      </c>
      <c r="AG42" s="1">
        <f t="shared" si="4"/>
        <v>11</v>
      </c>
      <c r="AH42" s="7">
        <f t="shared" si="5"/>
        <v>40.74074074074074</v>
      </c>
      <c r="AL42" s="5">
        <v>63</v>
      </c>
      <c r="AM42" s="3">
        <f t="shared" si="2"/>
        <v>8.1004085636292125</v>
      </c>
      <c r="AR42" s="2">
        <v>1</v>
      </c>
      <c r="AS42" s="2">
        <v>1</v>
      </c>
      <c r="AT42" s="2">
        <v>0</v>
      </c>
      <c r="AU42" s="2">
        <v>0</v>
      </c>
      <c r="AV42" s="2">
        <v>0</v>
      </c>
      <c r="AW42" s="2">
        <v>1</v>
      </c>
      <c r="AX42" s="2">
        <v>0</v>
      </c>
      <c r="AY42" s="2">
        <v>0</v>
      </c>
      <c r="AZ42" s="2">
        <v>0</v>
      </c>
      <c r="BA42" s="2">
        <v>1</v>
      </c>
      <c r="BB42" s="2">
        <v>1</v>
      </c>
      <c r="BC42" s="2">
        <v>1</v>
      </c>
      <c r="BD42" s="2">
        <v>1</v>
      </c>
      <c r="BE42" s="2">
        <v>0</v>
      </c>
      <c r="BF42" s="2">
        <v>0</v>
      </c>
      <c r="BG42" s="2">
        <v>1</v>
      </c>
      <c r="BH42" s="2">
        <v>1</v>
      </c>
      <c r="BI42" s="2">
        <v>1</v>
      </c>
      <c r="BJ42" s="2">
        <v>0</v>
      </c>
      <c r="BK42" s="2">
        <v>1</v>
      </c>
      <c r="BL42" s="2">
        <v>1</v>
      </c>
      <c r="BM42" s="2">
        <v>1</v>
      </c>
      <c r="BN42" s="2">
        <v>0</v>
      </c>
      <c r="BO42" s="2">
        <v>1</v>
      </c>
      <c r="BP42" s="2">
        <v>0</v>
      </c>
      <c r="BQ42" s="2">
        <v>1</v>
      </c>
      <c r="BR42" s="2">
        <v>1</v>
      </c>
    </row>
    <row r="43" spans="2:70" x14ac:dyDescent="0.25">
      <c r="B43" t="s">
        <v>75</v>
      </c>
      <c r="C43" t="s">
        <v>75</v>
      </c>
      <c r="D43" t="s">
        <v>75</v>
      </c>
      <c r="E43" t="s">
        <v>75</v>
      </c>
      <c r="F43" s="2">
        <v>1</v>
      </c>
      <c r="G43" s="2">
        <v>0</v>
      </c>
      <c r="H43" s="2">
        <v>0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0</v>
      </c>
      <c r="S43" s="2">
        <v>0</v>
      </c>
      <c r="T43" s="2">
        <v>0</v>
      </c>
      <c r="U43" s="2">
        <v>1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1</v>
      </c>
      <c r="AB43" s="2">
        <v>0</v>
      </c>
      <c r="AC43" s="2">
        <v>1</v>
      </c>
      <c r="AD43" s="2">
        <v>0</v>
      </c>
      <c r="AE43" s="2">
        <v>1</v>
      </c>
      <c r="AF43" s="2">
        <v>1</v>
      </c>
      <c r="AG43" s="2">
        <f t="shared" si="4"/>
        <v>17</v>
      </c>
      <c r="AH43" s="6">
        <f t="shared" si="5"/>
        <v>62.962962962962962</v>
      </c>
      <c r="AL43" s="5">
        <v>63</v>
      </c>
      <c r="AM43" s="3">
        <f t="shared" si="2"/>
        <v>8.1004085636292125</v>
      </c>
      <c r="AR43" s="5">
        <f>SUM(AR2:AR42)/COUNT(AR2:AR42)*100</f>
        <v>39.024390243902438</v>
      </c>
      <c r="AS43" s="5">
        <f t="shared" ref="AS43:BR43" si="6">SUM(AS2:AS42)/COUNT(AS2:AS42)*100</f>
        <v>39.024390243902438</v>
      </c>
      <c r="AT43" s="5">
        <f t="shared" si="6"/>
        <v>51.219512195121951</v>
      </c>
      <c r="AU43" s="5">
        <f t="shared" si="6"/>
        <v>41.463414634146339</v>
      </c>
      <c r="AV43" s="5">
        <f t="shared" si="6"/>
        <v>21.951219512195124</v>
      </c>
      <c r="AW43" s="5">
        <f t="shared" si="6"/>
        <v>68.292682926829272</v>
      </c>
      <c r="AX43" s="5">
        <f t="shared" si="6"/>
        <v>51.219512195121951</v>
      </c>
      <c r="AY43" s="5">
        <f t="shared" si="6"/>
        <v>46.341463414634148</v>
      </c>
      <c r="AZ43" s="5">
        <f t="shared" si="6"/>
        <v>36.585365853658537</v>
      </c>
      <c r="BA43" s="5">
        <f t="shared" si="6"/>
        <v>31.707317073170731</v>
      </c>
      <c r="BB43" s="5">
        <f t="shared" si="6"/>
        <v>68.292682926829272</v>
      </c>
      <c r="BC43" s="5">
        <f t="shared" si="6"/>
        <v>53.658536585365859</v>
      </c>
      <c r="BD43" s="5">
        <f t="shared" si="6"/>
        <v>70.731707317073173</v>
      </c>
      <c r="BE43" s="5">
        <f t="shared" si="6"/>
        <v>31.707317073170731</v>
      </c>
      <c r="BF43" s="5">
        <f t="shared" si="6"/>
        <v>43.902439024390247</v>
      </c>
      <c r="BG43" s="5">
        <f t="shared" si="6"/>
        <v>34.146341463414636</v>
      </c>
      <c r="BH43" s="5">
        <f t="shared" si="6"/>
        <v>56.09756097560976</v>
      </c>
      <c r="BI43" s="5">
        <f t="shared" si="6"/>
        <v>48.780487804878049</v>
      </c>
      <c r="BJ43" s="5">
        <f t="shared" si="6"/>
        <v>53.658536585365859</v>
      </c>
      <c r="BK43" s="5">
        <f t="shared" si="6"/>
        <v>73.170731707317074</v>
      </c>
      <c r="BL43" s="5">
        <f t="shared" si="6"/>
        <v>31.707317073170731</v>
      </c>
      <c r="BM43" s="5">
        <f t="shared" si="6"/>
        <v>51.219512195121951</v>
      </c>
      <c r="BN43" s="5">
        <f t="shared" si="6"/>
        <v>31.707317073170731</v>
      </c>
      <c r="BO43" s="5">
        <f t="shared" si="6"/>
        <v>48.780487804878049</v>
      </c>
      <c r="BP43" s="5">
        <f t="shared" si="6"/>
        <v>17.073170731707318</v>
      </c>
      <c r="BQ43" s="5">
        <f t="shared" si="6"/>
        <v>51.219512195121951</v>
      </c>
      <c r="BR43" s="5">
        <f t="shared" si="6"/>
        <v>82.926829268292678</v>
      </c>
    </row>
    <row r="44" spans="2:70" x14ac:dyDescent="0.25">
      <c r="B44" t="s">
        <v>75</v>
      </c>
      <c r="C44" t="s">
        <v>75</v>
      </c>
      <c r="D44" t="s">
        <v>75</v>
      </c>
      <c r="E44" t="s">
        <v>75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1</v>
      </c>
      <c r="S44" s="1">
        <v>1</v>
      </c>
      <c r="T44" s="1">
        <v>1</v>
      </c>
      <c r="U44" s="1">
        <v>0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1</v>
      </c>
      <c r="AG44" s="1">
        <f t="shared" si="4"/>
        <v>13</v>
      </c>
      <c r="AH44" s="7">
        <f t="shared" si="5"/>
        <v>48.148148148148145</v>
      </c>
      <c r="AL44" s="5">
        <v>70.400000000000006</v>
      </c>
      <c r="AM44" s="3">
        <f t="shared" si="2"/>
        <v>4.9059073059279701</v>
      </c>
    </row>
    <row r="45" spans="2:70" x14ac:dyDescent="0.25">
      <c r="B45" t="s">
        <v>75</v>
      </c>
      <c r="C45" t="s">
        <v>75</v>
      </c>
      <c r="D45" t="s">
        <v>75</v>
      </c>
      <c r="E45" t="s">
        <v>75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1</v>
      </c>
      <c r="Z45" s="2">
        <v>0</v>
      </c>
      <c r="AA45" s="2">
        <v>1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f t="shared" si="4"/>
        <v>8</v>
      </c>
      <c r="AH45" s="6">
        <f t="shared" si="5"/>
        <v>29.629629629629626</v>
      </c>
      <c r="AL45" s="5">
        <v>74.099999999999994</v>
      </c>
      <c r="AM45" s="3">
        <f t="shared" si="2"/>
        <v>3.5555765531226209</v>
      </c>
    </row>
    <row r="46" spans="2:70" x14ac:dyDescent="0.25">
      <c r="B46" t="s">
        <v>75</v>
      </c>
      <c r="C46" t="s">
        <v>75</v>
      </c>
      <c r="D46" t="s">
        <v>75</v>
      </c>
      <c r="E46" t="s">
        <v>75</v>
      </c>
      <c r="F46" s="11">
        <v>0</v>
      </c>
      <c r="G46" s="11">
        <v>0</v>
      </c>
      <c r="H46" s="11">
        <v>1</v>
      </c>
      <c r="I46" s="11">
        <v>1</v>
      </c>
      <c r="J46" s="11">
        <v>1</v>
      </c>
      <c r="K46" s="11">
        <v>1</v>
      </c>
      <c r="L46" s="11">
        <v>1</v>
      </c>
      <c r="M46" s="11">
        <v>0</v>
      </c>
      <c r="N46" s="11">
        <v>0</v>
      </c>
      <c r="O46" s="11">
        <v>1</v>
      </c>
      <c r="P46" s="11">
        <v>1</v>
      </c>
      <c r="Q46" s="11">
        <v>0</v>
      </c>
      <c r="R46" s="11">
        <v>1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1</v>
      </c>
      <c r="AA46" s="11">
        <v>0</v>
      </c>
      <c r="AB46" s="11">
        <v>0</v>
      </c>
      <c r="AC46" s="11">
        <v>1</v>
      </c>
      <c r="AD46" s="11">
        <v>1</v>
      </c>
      <c r="AE46" s="11">
        <v>1</v>
      </c>
      <c r="AF46" s="11">
        <v>0</v>
      </c>
      <c r="AG46" s="11">
        <f t="shared" si="4"/>
        <v>12</v>
      </c>
      <c r="AH46" s="12">
        <f t="shared" si="5"/>
        <v>44.444444444444443</v>
      </c>
      <c r="AL46" s="5">
        <v>77.8</v>
      </c>
      <c r="AM46" s="3">
        <f t="shared" si="2"/>
        <v>2.4574822401398997</v>
      </c>
    </row>
    <row r="47" spans="2:70" x14ac:dyDescent="0.25">
      <c r="B47" t="s">
        <v>75</v>
      </c>
      <c r="C47" t="s">
        <v>75</v>
      </c>
      <c r="D47" t="s">
        <v>75</v>
      </c>
      <c r="E47" t="s">
        <v>75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0</v>
      </c>
      <c r="L47" s="2">
        <v>1</v>
      </c>
      <c r="M47" s="2">
        <v>1</v>
      </c>
      <c r="N47" s="2">
        <v>1</v>
      </c>
      <c r="O47" s="2">
        <v>0</v>
      </c>
      <c r="P47" s="2">
        <v>1</v>
      </c>
      <c r="Q47" s="2">
        <v>1</v>
      </c>
      <c r="R47" s="2">
        <v>1</v>
      </c>
      <c r="S47" s="2">
        <v>0</v>
      </c>
      <c r="T47" s="2">
        <v>0</v>
      </c>
      <c r="U47" s="2">
        <v>1</v>
      </c>
      <c r="V47" s="2">
        <v>0</v>
      </c>
      <c r="W47" s="2">
        <v>1</v>
      </c>
      <c r="X47" s="2">
        <v>1</v>
      </c>
      <c r="Y47" s="2">
        <v>1</v>
      </c>
      <c r="Z47" s="2">
        <v>1</v>
      </c>
      <c r="AA47" s="2">
        <v>0</v>
      </c>
      <c r="AB47" s="2">
        <v>1</v>
      </c>
      <c r="AC47" s="2">
        <v>1</v>
      </c>
      <c r="AD47" s="2">
        <v>0</v>
      </c>
      <c r="AE47" s="2">
        <v>1</v>
      </c>
      <c r="AF47" s="2">
        <v>1</v>
      </c>
      <c r="AG47" s="2">
        <f t="shared" ref="AG47" si="7">SUM(F47:AF47)</f>
        <v>16</v>
      </c>
      <c r="AH47" s="6">
        <f>SUM(F47:AF47)/COUNT(F47:AF47)*100</f>
        <v>59.259259259259252</v>
      </c>
      <c r="AL47" s="5">
        <v>92.6</v>
      </c>
      <c r="AM47" s="3">
        <f t="shared" si="2"/>
        <v>0.34890596486822573</v>
      </c>
    </row>
    <row r="48" spans="2:70" x14ac:dyDescent="0.25">
      <c r="E48" t="s">
        <v>4</v>
      </c>
      <c r="F48">
        <f t="shared" ref="F48:AF48" si="8">SUM(F27:F47)/COUNT(F27:F47)*100</f>
        <v>33.333333333333329</v>
      </c>
      <c r="G48">
        <f t="shared" si="8"/>
        <v>38.095238095238095</v>
      </c>
      <c r="H48">
        <f t="shared" si="8"/>
        <v>52.380952380952387</v>
      </c>
      <c r="I48">
        <f t="shared" si="8"/>
        <v>57.142857142857139</v>
      </c>
      <c r="J48">
        <f t="shared" si="8"/>
        <v>42.857142857142854</v>
      </c>
      <c r="K48">
        <f t="shared" si="8"/>
        <v>61.904761904761905</v>
      </c>
      <c r="L48">
        <f t="shared" si="8"/>
        <v>80.952380952380949</v>
      </c>
      <c r="M48">
        <f t="shared" si="8"/>
        <v>38.095238095238095</v>
      </c>
      <c r="N48">
        <f t="shared" si="8"/>
        <v>71.428571428571431</v>
      </c>
      <c r="O48">
        <f t="shared" si="8"/>
        <v>47.619047619047613</v>
      </c>
      <c r="P48">
        <f t="shared" si="8"/>
        <v>38.095238095238095</v>
      </c>
      <c r="Q48">
        <f t="shared" si="8"/>
        <v>42.857142857142854</v>
      </c>
      <c r="R48">
        <f t="shared" si="8"/>
        <v>66.666666666666657</v>
      </c>
      <c r="S48">
        <f t="shared" si="8"/>
        <v>28.571428571428569</v>
      </c>
      <c r="T48">
        <f t="shared" si="8"/>
        <v>33.333333333333329</v>
      </c>
      <c r="U48">
        <f t="shared" si="8"/>
        <v>52.380952380952387</v>
      </c>
      <c r="V48">
        <f t="shared" si="8"/>
        <v>23.809523809523807</v>
      </c>
      <c r="W48">
        <f t="shared" si="8"/>
        <v>57.142857142857139</v>
      </c>
      <c r="X48">
        <f t="shared" si="8"/>
        <v>38.095238095238095</v>
      </c>
      <c r="Y48">
        <f t="shared" si="8"/>
        <v>52.380952380952387</v>
      </c>
      <c r="Z48">
        <f t="shared" si="8"/>
        <v>52.380952380952387</v>
      </c>
      <c r="AA48">
        <f t="shared" si="8"/>
        <v>57.142857142857139</v>
      </c>
      <c r="AB48">
        <f t="shared" si="8"/>
        <v>28.571428571428569</v>
      </c>
      <c r="AC48">
        <f t="shared" si="8"/>
        <v>71.428571428571431</v>
      </c>
      <c r="AD48">
        <f t="shared" si="8"/>
        <v>19.047619047619047</v>
      </c>
      <c r="AE48">
        <f t="shared" si="8"/>
        <v>61.904761904761905</v>
      </c>
      <c r="AF48">
        <f t="shared" si="8"/>
        <v>71.428571428571431</v>
      </c>
      <c r="AH48" s="13">
        <f>AVERAGE(Table5[Column33])</f>
        <v>48.853615520282197</v>
      </c>
    </row>
    <row r="57" spans="6:6" x14ac:dyDescent="0.25">
      <c r="F57" s="14"/>
    </row>
  </sheetData>
  <sortState xmlns:xlrd2="http://schemas.microsoft.com/office/spreadsheetml/2017/richdata2" ref="AN8:AN15">
    <sortCondition ref="AN8"/>
  </sortState>
  <phoneticPr fontId="2" type="noConversion"/>
  <conditionalFormatting sqref="F23:AF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8:AF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3:AH22">
    <cfRule type="colorScale" priority="11">
      <colorScale>
        <cfvo type="min"/>
        <cfvo type="num" val="55"/>
        <cfvo type="max"/>
        <color rgb="FFF8696B"/>
        <color rgb="FFFFEB84"/>
        <color rgb="FF63BE7B"/>
      </colorScale>
    </cfRule>
  </conditionalFormatting>
  <conditionalFormatting sqref="AH27:AH47">
    <cfRule type="colorScale" priority="12">
      <colorScale>
        <cfvo type="min"/>
        <cfvo type="percentile" val="55"/>
        <cfvo type="max"/>
        <color rgb="FFF8696B"/>
        <color rgb="FFFFEB84"/>
        <color rgb="FF63BE7B"/>
      </colorScale>
    </cfRule>
  </conditionalFormatting>
  <conditionalFormatting sqref="AR43:BR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AG30:AH36" formulaRange="1"/>
  </ignoredErrors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Zhu, Kevin cdt</dc:creator>
  <cp:lastModifiedBy>Kevin Zhu</cp:lastModifiedBy>
  <dcterms:created xsi:type="dcterms:W3CDTF">2025-03-26T02:48:06Z</dcterms:created>
  <dcterms:modified xsi:type="dcterms:W3CDTF">2025-06-08T11:04:39Z</dcterms:modified>
</cp:coreProperties>
</file>